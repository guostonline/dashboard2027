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DELL\Dev\dashboard2027\"/>
    </mc:Choice>
  </mc:AlternateContent>
  <xr:revisionPtr revIDLastSave="0" documentId="13_ncr:1_{D19F6257-BB56-40AA-ABD9-FDEE47A33B2D}" xr6:coauthVersionLast="47" xr6:coauthVersionMax="47" xr10:uidLastSave="{00000000-0000-0000-0000-000000000000}"/>
  <bookViews>
    <workbookView xWindow="720" yWindow="669" windowWidth="21129" windowHeight="17014" xr2:uid="{00000000-000D-0000-FFFF-FFFF00000000}"/>
  </bookViews>
  <sheets>
    <sheet name="Focus VMM" sheetId="1" r:id="rId1"/>
    <sheet name="Focus SOM" sheetId="2" r:id="rId2"/>
  </sheets>
  <definedNames>
    <definedName name="_xlnm._FilterDatabase" localSheetId="1" hidden="1">'Focus SOM'!$A$1:$I$8</definedName>
    <definedName name="_xlnm._FilterDatabase" localSheetId="0" hidden="1">'Focus VMM'!$A$1:$K$8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 s="1"/>
  <c r="J5" i="1" s="1"/>
  <c r="J6" i="1" s="1"/>
  <c r="I7" i="1"/>
  <c r="H7" i="1" s="1"/>
  <c r="F5" i="1"/>
  <c r="I5" i="1" s="1"/>
  <c r="K5" i="1" s="1"/>
  <c r="F6" i="1"/>
  <c r="I6" i="1" s="1"/>
  <c r="F4" i="1"/>
  <c r="I4" i="1" s="1"/>
  <c r="K4" i="1" s="1"/>
  <c r="F8" i="1"/>
  <c r="I8" i="1" s="1"/>
  <c r="F3" i="1"/>
  <c r="I3" i="1" s="1"/>
  <c r="K3" i="1" s="1"/>
  <c r="F2" i="1"/>
  <c r="I2" i="1" s="1"/>
  <c r="F7" i="1"/>
  <c r="H3" i="2"/>
  <c r="H4" i="2" s="1"/>
  <c r="D2" i="2"/>
  <c r="D7" i="2"/>
  <c r="D3" i="2"/>
  <c r="G3" i="2" s="1"/>
  <c r="I3" i="2" s="1"/>
  <c r="D8" i="2"/>
  <c r="G8" i="2" s="1"/>
  <c r="D4" i="2"/>
  <c r="D5" i="2"/>
  <c r="G5" i="2" s="1"/>
  <c r="D6" i="2"/>
  <c r="G6" i="2" s="1"/>
  <c r="F8" i="2" l="1"/>
  <c r="H2" i="1"/>
  <c r="K2" i="1"/>
  <c r="J7" i="1"/>
  <c r="K6" i="1"/>
  <c r="H8" i="1"/>
  <c r="H5" i="1"/>
  <c r="H6" i="1"/>
  <c r="H4" i="1"/>
  <c r="H3" i="1"/>
  <c r="H5" i="2"/>
  <c r="I4" i="2"/>
  <c r="F6" i="2"/>
  <c r="G7" i="2"/>
  <c r="F7" i="2" s="1"/>
  <c r="F3" i="2"/>
  <c r="F5" i="2"/>
  <c r="G4" i="2"/>
  <c r="F4" i="2" s="1"/>
  <c r="G2" i="2"/>
  <c r="F2" i="2" l="1"/>
  <c r="I2" i="2"/>
  <c r="J8" i="1"/>
  <c r="K8" i="1" s="1"/>
  <c r="K7" i="1"/>
  <c r="H6" i="2"/>
  <c r="I5" i="2"/>
  <c r="H7" i="2" l="1"/>
  <c r="I6" i="2"/>
  <c r="H8" i="2" l="1"/>
  <c r="I8" i="2" s="1"/>
  <c r="I7" i="2"/>
</calcChain>
</file>

<file path=xl/sharedStrings.xml><?xml version="1.0" encoding="utf-8"?>
<sst xmlns="http://schemas.openxmlformats.org/spreadsheetml/2006/main" count="48" uniqueCount="36">
  <si>
    <t>TOMATE FRITO</t>
  </si>
  <si>
    <t>DN FIN MAI</t>
  </si>
  <si>
    <t>OBJ JUIN</t>
  </si>
  <si>
    <t>TAROUDANT</t>
  </si>
  <si>
    <t>INZEGANE</t>
  </si>
  <si>
    <t>OULED TEIMA</t>
  </si>
  <si>
    <t>AIT MELLOUL</t>
  </si>
  <si>
    <t>TAROUDANTE EXT IDAOUTANANE</t>
  </si>
  <si>
    <t>AGADIR TIKIOUINE</t>
  </si>
  <si>
    <t>AGADIR EXTERIEUR</t>
  </si>
  <si>
    <t>Number Client</t>
  </si>
  <si>
    <t>Secteur</t>
  </si>
  <si>
    <t>GLACE HT</t>
  </si>
  <si>
    <t>OULED TEIMA SOM VMM</t>
  </si>
  <si>
    <t>AGADIR EXTERIEUR SOM VMM</t>
  </si>
  <si>
    <t>TAROUDANT SOM VMM</t>
  </si>
  <si>
    <t>AGADIR TIKIOUINE SOM</t>
  </si>
  <si>
    <t>AIT MELLOUL SOM</t>
  </si>
  <si>
    <t>INZEGANE SOM</t>
  </si>
  <si>
    <t>TTC</t>
  </si>
  <si>
    <t>%</t>
  </si>
  <si>
    <t>Realise</t>
  </si>
  <si>
    <t>Rest</t>
  </si>
  <si>
    <t>Rest / jour</t>
  </si>
  <si>
    <t>Jours Rest</t>
  </si>
  <si>
    <t>OBJ ACM</t>
  </si>
  <si>
    <t>Jour Rest</t>
  </si>
  <si>
    <t>Vendeur</t>
  </si>
  <si>
    <t>D86 ACHAOUI AZIZ</t>
  </si>
  <si>
    <t>T89 AKNOUN MOHAMED</t>
  </si>
  <si>
    <t>J78 LASRI EL HOUCINE</t>
  </si>
  <si>
    <t>K91 BAIZ MOHAMED</t>
  </si>
  <si>
    <t>F78 GHOUSMI MOURAD</t>
  </si>
  <si>
    <t>D48 IBACH MOHAMED</t>
  </si>
  <si>
    <t>K60 ELHAOUZI RACHID</t>
  </si>
  <si>
    <t>E14 BOUMDIANE MOHAMED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</si>
</sst>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ptos Narrow"/>
      <family val="2"/>
    </font>
    <font>
      <sz val="11"/>
      <color rgb="FF000000"/>
      <name val="Aptos Narrow"/>
      <family val="2"/>
    </font>
    <font>
      <sz val="11"/>
      <color theme="1"/>
      <name val="Calibri"/>
      <family val="2"/>
      <scheme val="minor"/>
    </font>
    <font>
      <sz val="12"/>
      <color rgb="FFFFFFFF"/>
      <name val="Garamond"/>
      <family val="1"/>
    </font>
    <font>
      <sz val="11"/>
      <color rgb="FF000000"/>
      <name val="Calibri"/>
      <family val="2"/>
    </font>
    <font>
      <b/>
      <sz val="9"/>
      <color indexed="10"/>
      <name val="Garamond"/>
      <family val="1"/>
    </font>
  </fonts>
  <fills count="7">
    <fill>
      <patternFill patternType="none"/>
    </fill>
    <fill>
      <patternFill patternType="gray125"/>
    </fill>
    <fill>
      <patternFill patternType="solid">
        <fgColor rgb="FF15608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44B3E1"/>
      </left>
      <right/>
      <top style="medium">
        <color rgb="FF44B3E1"/>
      </top>
      <bottom/>
      <diagonal/>
    </border>
    <border>
      <left/>
      <right/>
      <top style="medium">
        <color rgb="FF44B3E1"/>
      </top>
      <bottom/>
      <diagonal/>
    </border>
    <border>
      <left/>
      <right style="medium">
        <color rgb="FF44B3E1"/>
      </right>
      <top style="medium">
        <color rgb="FF44B3E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8">
    <xf numFmtId="0" fontId="0" fillId="0" borderId="0" xfId="0"/>
    <xf numFmtId="0" fontId="1" fillId="2" borderId="0" xfId="0" applyFont="1" applyFill="1" applyAlignment="1">
      <alignment vertical="center"/>
    </xf>
    <xf numFmtId="0" fontId="4" fillId="3" borderId="2" xfId="0" applyFont="1" applyFill="1" applyBorder="1" applyAlignment="1">
      <alignment horizontal="center" vertical="center"/>
    </xf>
    <xf numFmtId="0" fontId="0" fillId="0" borderId="1" xfId="0" applyBorder="1"/>
    <xf numFmtId="0" fontId="5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right"/>
    </xf>
    <xf numFmtId="1" fontId="0" fillId="5" borderId="1" xfId="0" applyNumberFormat="1" applyFill="1" applyBorder="1"/>
    <xf numFmtId="9" fontId="6" fillId="0" borderId="1" xfId="1" applyFont="1" applyFill="1" applyBorder="1" applyAlignment="1">
      <alignment horizontal="center"/>
    </xf>
    <xf numFmtId="1" fontId="0" fillId="0" borderId="1" xfId="0" applyNumberFormat="1" applyBorder="1"/>
    <xf numFmtId="1" fontId="0" fillId="6" borderId="1" xfId="0" applyNumberFormat="1" applyFill="1" applyBorder="1"/>
    <xf numFmtId="0" fontId="1" fillId="2" borderId="3" xfId="0" applyFont="1" applyFill="1" applyBorder="1" applyAlignment="1">
      <alignment vertical="center"/>
    </xf>
    <xf numFmtId="0" fontId="1" fillId="2" borderId="4" xfId="0" applyFont="1" applyFill="1" applyBorder="1" applyAlignment="1">
      <alignment vertical="center"/>
    </xf>
    <xf numFmtId="0" fontId="1" fillId="2" borderId="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10" fontId="2" fillId="0" borderId="1" xfId="0" applyNumberFormat="1" applyFont="1" applyBorder="1" applyAlignment="1">
      <alignment horizontal="right" vertical="center"/>
    </xf>
    <xf numFmtId="9" fontId="2" fillId="0" borderId="1" xfId="0" applyNumberFormat="1" applyFont="1" applyBorder="1" applyAlignment="1">
      <alignment horizontal="right" vertical="center"/>
    </xf>
    <xf numFmtId="1" fontId="6" fillId="0" borderId="1" xfId="1" applyNumberFormat="1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I16" sqref="I16"/>
    </sheetView>
  </sheetViews>
  <sheetFormatPr defaultRowHeight="14.6" x14ac:dyDescent="0.4"/>
  <cols>
    <col min="1" max="1" width="23.53515625" customWidth="1"/>
    <col min="2" max="2" width="27.69140625" bestFit="1" customWidth="1"/>
    <col min="3" max="3" width="10.07421875" bestFit="1" customWidth="1"/>
    <col min="4" max="4" width="10" customWidth="1"/>
    <col min="5" max="5" width="13.69140625" customWidth="1"/>
    <col min="6" max="6" width="11.23046875" customWidth="1"/>
    <col min="7" max="7" width="10.765625" customWidth="1"/>
    <col min="8" max="8" width="10.23046875" customWidth="1"/>
  </cols>
  <sheetData>
    <row r="1" spans="1:11" x14ac:dyDescent="0.4">
      <c r="A1" s="11" t="s">
        <v>27</v>
      </c>
      <c r="B1" s="11" t="s">
        <v>0</v>
      </c>
      <c r="C1" s="12" t="s">
        <v>1</v>
      </c>
      <c r="D1" s="13" t="s">
        <v>2</v>
      </c>
      <c r="E1" s="1" t="s">
        <v>10</v>
      </c>
      <c r="F1" s="1" t="s">
        <v>25</v>
      </c>
      <c r="G1" s="1" t="s">
        <v>20</v>
      </c>
      <c r="H1" s="1" t="s">
        <v>21</v>
      </c>
      <c r="I1" s="1" t="s">
        <v>22</v>
      </c>
      <c r="J1" s="1" t="s">
        <v>26</v>
      </c>
      <c r="K1" s="1" t="s">
        <v>23</v>
      </c>
    </row>
    <row r="2" spans="1:11" x14ac:dyDescent="0.4">
      <c r="A2" s="3" t="s">
        <v>29</v>
      </c>
      <c r="B2" s="14" t="s">
        <v>9</v>
      </c>
      <c r="C2" s="15">
        <v>6.2799999999999995E-2</v>
      </c>
      <c r="D2" s="16">
        <v>0.3</v>
      </c>
      <c r="E2" s="3">
        <v>750</v>
      </c>
      <c r="F2" s="9">
        <f t="shared" ref="F2:F8" si="0">E2*D2</f>
        <v>225</v>
      </c>
      <c r="G2" s="8">
        <v>-0.995549621717846</v>
      </c>
      <c r="H2" s="17">
        <f>F2-I2</f>
        <v>1.0013351134846573</v>
      </c>
      <c r="I2" s="9">
        <f>F2*-G2</f>
        <v>223.99866488651534</v>
      </c>
      <c r="J2" s="9">
        <v>21</v>
      </c>
      <c r="K2" s="10">
        <f>I2/J2</f>
        <v>10.666603089834064</v>
      </c>
    </row>
    <row r="3" spans="1:11" x14ac:dyDescent="0.4">
      <c r="A3" s="3" t="s">
        <v>28</v>
      </c>
      <c r="B3" s="14" t="s">
        <v>8</v>
      </c>
      <c r="C3" s="15">
        <v>9.1399999999999995E-2</v>
      </c>
      <c r="D3" s="16">
        <v>0.3</v>
      </c>
      <c r="E3" s="3">
        <v>639</v>
      </c>
      <c r="F3" s="9">
        <f t="shared" si="0"/>
        <v>191.7</v>
      </c>
      <c r="G3" s="8">
        <v>-1</v>
      </c>
      <c r="H3" s="17">
        <f t="shared" ref="H3:H8" si="1">F3-I3</f>
        <v>0</v>
      </c>
      <c r="I3" s="9">
        <f t="shared" ref="I3:I8" si="2">F3*-G3</f>
        <v>191.7</v>
      </c>
      <c r="J3" s="9">
        <f>J2</f>
        <v>21</v>
      </c>
      <c r="K3" s="10">
        <f t="shared" ref="K3:K8" si="3">I3/J3</f>
        <v>9.1285714285714281</v>
      </c>
    </row>
    <row r="4" spans="1:11" x14ac:dyDescent="0.4">
      <c r="A4" s="3" t="s">
        <v>32</v>
      </c>
      <c r="B4" s="14" t="s">
        <v>6</v>
      </c>
      <c r="C4" s="15">
        <v>0.13420000000000001</v>
      </c>
      <c r="D4" s="16">
        <v>0.2</v>
      </c>
      <c r="E4" s="3">
        <v>636</v>
      </c>
      <c r="F4" s="9">
        <f t="shared" si="0"/>
        <v>127.2</v>
      </c>
      <c r="G4" s="8">
        <v>-0.99224806201550386</v>
      </c>
      <c r="H4" s="17">
        <f t="shared" si="1"/>
        <v>0.98604651162790447</v>
      </c>
      <c r="I4" s="9">
        <f t="shared" si="2"/>
        <v>126.2139534883721</v>
      </c>
      <c r="J4" s="9">
        <f t="shared" ref="J4:J8" si="4">J3</f>
        <v>21</v>
      </c>
      <c r="K4" s="10">
        <f t="shared" si="3"/>
        <v>6.0101882613510522</v>
      </c>
    </row>
    <row r="5" spans="1:11" x14ac:dyDescent="0.4">
      <c r="A5" s="3" t="s">
        <v>31</v>
      </c>
      <c r="B5" s="14" t="s">
        <v>4</v>
      </c>
      <c r="C5" s="15">
        <v>0.15989999999999999</v>
      </c>
      <c r="D5" s="16">
        <v>0.25</v>
      </c>
      <c r="E5" s="3">
        <v>635</v>
      </c>
      <c r="F5" s="9">
        <f t="shared" si="0"/>
        <v>158.75</v>
      </c>
      <c r="G5" s="8">
        <v>-1</v>
      </c>
      <c r="H5" s="17">
        <f t="shared" si="1"/>
        <v>0</v>
      </c>
      <c r="I5" s="9">
        <f t="shared" si="2"/>
        <v>158.75</v>
      </c>
      <c r="J5" s="9">
        <f t="shared" si="4"/>
        <v>21</v>
      </c>
      <c r="K5" s="10">
        <f t="shared" si="3"/>
        <v>7.5595238095238093</v>
      </c>
    </row>
    <row r="6" spans="1:11" x14ac:dyDescent="0.4">
      <c r="A6" s="3" t="s">
        <v>30</v>
      </c>
      <c r="B6" s="14" t="s">
        <v>5</v>
      </c>
      <c r="C6" s="15">
        <v>0.15340000000000001</v>
      </c>
      <c r="D6" s="16">
        <v>0.2</v>
      </c>
      <c r="E6" s="3">
        <v>516</v>
      </c>
      <c r="F6" s="9">
        <f t="shared" si="0"/>
        <v>103.2</v>
      </c>
      <c r="G6" s="8">
        <v>-1</v>
      </c>
      <c r="H6" s="17">
        <f t="shared" si="1"/>
        <v>0</v>
      </c>
      <c r="I6" s="9">
        <f t="shared" si="2"/>
        <v>103.2</v>
      </c>
      <c r="J6" s="9">
        <f t="shared" si="4"/>
        <v>21</v>
      </c>
      <c r="K6" s="10">
        <f t="shared" si="3"/>
        <v>4.9142857142857146</v>
      </c>
    </row>
    <row r="7" spans="1:11" x14ac:dyDescent="0.4">
      <c r="A7" s="3" t="s">
        <v>33</v>
      </c>
      <c r="B7" s="14" t="s">
        <v>3</v>
      </c>
      <c r="C7" s="15">
        <v>0.1603</v>
      </c>
      <c r="D7" s="16">
        <v>0.2</v>
      </c>
      <c r="E7" s="3">
        <v>500</v>
      </c>
      <c r="F7" s="9">
        <f t="shared" si="0"/>
        <v>100</v>
      </c>
      <c r="G7" s="8">
        <v>-1</v>
      </c>
      <c r="H7" s="17">
        <f t="shared" si="1"/>
        <v>0</v>
      </c>
      <c r="I7" s="9">
        <f t="shared" si="2"/>
        <v>100</v>
      </c>
      <c r="J7" s="9">
        <f t="shared" si="4"/>
        <v>21</v>
      </c>
      <c r="K7" s="10">
        <f t="shared" si="3"/>
        <v>4.7619047619047619</v>
      </c>
    </row>
    <row r="8" spans="1:11" x14ac:dyDescent="0.4">
      <c r="A8" s="3" t="s">
        <v>34</v>
      </c>
      <c r="B8" s="14" t="s">
        <v>7</v>
      </c>
      <c r="C8" s="15">
        <v>0.10780000000000001</v>
      </c>
      <c r="D8" s="16">
        <v>0.25</v>
      </c>
      <c r="E8" s="3">
        <v>540</v>
      </c>
      <c r="F8" s="9">
        <f t="shared" si="0"/>
        <v>135</v>
      </c>
      <c r="G8" s="8">
        <v>-0.99257884972170685</v>
      </c>
      <c r="H8" s="17">
        <f t="shared" si="1"/>
        <v>1.0018552875695832</v>
      </c>
      <c r="I8" s="9">
        <f t="shared" si="2"/>
        <v>133.99814471243042</v>
      </c>
      <c r="J8" s="9">
        <f t="shared" si="4"/>
        <v>21</v>
      </c>
      <c r="K8" s="10">
        <f t="shared" si="3"/>
        <v>6.380864033925258</v>
      </c>
    </row>
  </sheetData>
  <autoFilter ref="A1:K8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448DF-B022-4F6D-98C1-0064357082D4}">
  <dimension ref="A1:I8"/>
  <sheetViews>
    <sheetView workbookViewId="0">
      <selection activeCell="A2" sqref="A2:I8"/>
    </sheetView>
  </sheetViews>
  <sheetFormatPr defaultRowHeight="14.6" x14ac:dyDescent="0.4"/>
  <cols>
    <col min="1" max="1" width="25.07421875" customWidth="1"/>
    <col min="2" max="2" width="33.61328125" customWidth="1"/>
    <col min="3" max="3" width="18.61328125" bestFit="1" customWidth="1"/>
    <col min="4" max="4" width="10.3828125" customWidth="1"/>
    <col min="8" max="8" width="10.765625" customWidth="1"/>
  </cols>
  <sheetData>
    <row r="1" spans="1:9" ht="15.45" x14ac:dyDescent="0.4">
      <c r="A1" s="2" t="s">
        <v>27</v>
      </c>
      <c r="B1" s="2" t="s">
        <v>11</v>
      </c>
      <c r="C1" s="2" t="s">
        <v>12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</row>
    <row r="2" spans="1:9" x14ac:dyDescent="0.4">
      <c r="A2" s="3" t="s">
        <v>29</v>
      </c>
      <c r="B2" s="4" t="s">
        <v>14</v>
      </c>
      <c r="C2" s="6">
        <v>2500</v>
      </c>
      <c r="D2" s="7">
        <f t="shared" ref="D2:D8" si="0">C2*1.2</f>
        <v>3000</v>
      </c>
      <c r="E2" s="8">
        <v>-0.90323199999999992</v>
      </c>
      <c r="F2" s="9">
        <f t="shared" ref="F2:F8" si="1">D2-G2</f>
        <v>290.30400000000009</v>
      </c>
      <c r="G2" s="9">
        <f>D2*-E2</f>
        <v>2709.6959999999999</v>
      </c>
      <c r="H2" s="3">
        <v>21</v>
      </c>
      <c r="I2" s="10">
        <f>G2/H2</f>
        <v>129.03314285714285</v>
      </c>
    </row>
    <row r="3" spans="1:9" x14ac:dyDescent="0.4">
      <c r="A3" s="3" t="s">
        <v>28</v>
      </c>
      <c r="B3" s="5" t="s">
        <v>16</v>
      </c>
      <c r="C3" s="6">
        <v>7841</v>
      </c>
      <c r="D3" s="7">
        <f t="shared" si="0"/>
        <v>9409.1999999999989</v>
      </c>
      <c r="E3" s="8">
        <v>-1</v>
      </c>
      <c r="F3" s="9">
        <f t="shared" si="1"/>
        <v>0</v>
      </c>
      <c r="G3" s="9">
        <f t="shared" ref="G3:G8" si="2">D3*-E3</f>
        <v>9409.1999999999989</v>
      </c>
      <c r="H3" s="3">
        <f>H2</f>
        <v>21</v>
      </c>
      <c r="I3" s="10">
        <f t="shared" ref="I3:I8" si="3">G3/H3</f>
        <v>448.05714285714282</v>
      </c>
    </row>
    <row r="4" spans="1:9" x14ac:dyDescent="0.4">
      <c r="A4" s="3" t="s">
        <v>32</v>
      </c>
      <c r="B4" s="4" t="s">
        <v>17</v>
      </c>
      <c r="C4" s="6">
        <v>7000</v>
      </c>
      <c r="D4" s="7">
        <f t="shared" si="0"/>
        <v>8400</v>
      </c>
      <c r="E4" s="8">
        <v>-0.93805571428571421</v>
      </c>
      <c r="F4" s="9">
        <f t="shared" si="1"/>
        <v>520.33200000000033</v>
      </c>
      <c r="G4" s="9">
        <f t="shared" si="2"/>
        <v>7879.6679999999997</v>
      </c>
      <c r="H4" s="3">
        <f t="shared" ref="H4:H8" si="4">H3</f>
        <v>21</v>
      </c>
      <c r="I4" s="10">
        <f t="shared" si="3"/>
        <v>375.2222857142857</v>
      </c>
    </row>
    <row r="5" spans="1:9" x14ac:dyDescent="0.4">
      <c r="A5" s="3" t="s">
        <v>35</v>
      </c>
      <c r="B5" s="4" t="s">
        <v>18</v>
      </c>
      <c r="C5" s="6">
        <v>6425</v>
      </c>
      <c r="D5" s="7">
        <f t="shared" si="0"/>
        <v>7710</v>
      </c>
      <c r="E5" s="8">
        <v>-0.91211949731343955</v>
      </c>
      <c r="F5" s="9">
        <f t="shared" si="1"/>
        <v>677.55867571338149</v>
      </c>
      <c r="G5" s="9">
        <f t="shared" si="2"/>
        <v>7032.4413242866185</v>
      </c>
      <c r="H5" s="3">
        <f t="shared" si="4"/>
        <v>21</v>
      </c>
      <c r="I5" s="10">
        <f t="shared" si="3"/>
        <v>334.87815829936278</v>
      </c>
    </row>
    <row r="6" spans="1:9" x14ac:dyDescent="0.4">
      <c r="A6" s="3" t="s">
        <v>30</v>
      </c>
      <c r="B6" s="4" t="s">
        <v>13</v>
      </c>
      <c r="C6" s="6">
        <v>4344</v>
      </c>
      <c r="D6" s="7">
        <f t="shared" si="0"/>
        <v>5212.8</v>
      </c>
      <c r="E6" s="8">
        <v>-1</v>
      </c>
      <c r="F6" s="9">
        <f t="shared" si="1"/>
        <v>0</v>
      </c>
      <c r="G6" s="9">
        <f t="shared" si="2"/>
        <v>5212.8</v>
      </c>
      <c r="H6" s="3">
        <f t="shared" si="4"/>
        <v>21</v>
      </c>
      <c r="I6" s="10">
        <f t="shared" si="3"/>
        <v>248.22857142857143</v>
      </c>
    </row>
    <row r="7" spans="1:9" x14ac:dyDescent="0.4">
      <c r="A7" s="3" t="s">
        <v>33</v>
      </c>
      <c r="B7" s="4" t="s">
        <v>15</v>
      </c>
      <c r="C7" s="6">
        <v>6837</v>
      </c>
      <c r="D7" s="7">
        <f t="shared" si="0"/>
        <v>8204.4</v>
      </c>
      <c r="E7" s="8">
        <v>-0.93510317493751227</v>
      </c>
      <c r="F7" s="9">
        <f t="shared" si="1"/>
        <v>532.43951154267415</v>
      </c>
      <c r="G7" s="9">
        <f t="shared" si="2"/>
        <v>7671.9604884573255</v>
      </c>
      <c r="H7" s="3">
        <f t="shared" si="4"/>
        <v>21</v>
      </c>
      <c r="I7" s="10">
        <f t="shared" si="3"/>
        <v>365.33145183130119</v>
      </c>
    </row>
    <row r="8" spans="1:9" x14ac:dyDescent="0.4">
      <c r="A8" s="3" t="s">
        <v>34</v>
      </c>
      <c r="B8" s="4" t="s">
        <v>7</v>
      </c>
      <c r="C8" s="6">
        <v>7018</v>
      </c>
      <c r="D8" s="7">
        <f t="shared" si="0"/>
        <v>8421.6</v>
      </c>
      <c r="E8" s="8">
        <v>-1</v>
      </c>
      <c r="F8" s="9">
        <f t="shared" si="1"/>
        <v>0</v>
      </c>
      <c r="G8" s="9">
        <f t="shared" si="2"/>
        <v>8421.6</v>
      </c>
      <c r="H8" s="3">
        <f t="shared" si="4"/>
        <v>21</v>
      </c>
      <c r="I8" s="10">
        <f t="shared" si="3"/>
        <v>401.02857142857147</v>
      </c>
    </row>
  </sheetData>
  <autoFilter ref="A1:I8" xr:uid="{7D4448DF-B022-4F6D-98C1-0064357082D4}"/>
  <conditionalFormatting sqref="F2:F8">
    <cfRule type="cellIs" dxfId="0" priority="1" operator="less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Focus VMM</vt:lpstr>
      <vt:lpstr>Focus SOM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chakib elfil</cp:lastModifiedBy>
  <dcterms:created xsi:type="dcterms:W3CDTF">2015-06-05T18:17:20Z</dcterms:created>
  <dcterms:modified xsi:type="dcterms:W3CDTF">2026-06-05T21:52:37Z</dcterms:modified>
</cp:coreProperties>
</file>