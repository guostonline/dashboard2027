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Stat2024\suiviMe\"/>
    </mc:Choice>
  </mc:AlternateContent>
  <xr:revisionPtr revIDLastSave="0" documentId="13_ncr:1_{DE484BC1-10BE-4507-BC74-BFD696808A29}" xr6:coauthVersionLast="36" xr6:coauthVersionMax="36" xr10:uidLastSave="{00000000-0000-0000-0000-000000000000}"/>
  <bookViews>
    <workbookView xWindow="-15" yWindow="2640" windowWidth="6480" windowHeight="1590" tabRatio="911" activeTab="4" xr2:uid="{00000000-000D-0000-FFFF-FFFF00000000}"/>
  </bookViews>
  <sheets>
    <sheet name="AGADIR" sheetId="178" r:id="rId1"/>
    <sheet name="QUALI NV" sheetId="182" r:id="rId2"/>
    <sheet name="QUALI" sheetId="179" state="hidden" r:id="rId3"/>
    <sheet name="VMM" sheetId="174" r:id="rId4"/>
    <sheet name="VMM CUMUL" sheetId="176" r:id="rId5"/>
    <sheet name="SOM" sheetId="175" r:id="rId6"/>
    <sheet name="SOM CUMUL" sheetId="177" r:id="rId7"/>
    <sheet name="SOM_quali" sheetId="180" r:id="rId8"/>
    <sheet name="VMM_quali" sheetId="181" r:id="rId9"/>
  </sheets>
  <definedNames>
    <definedName name="_xlnm._FilterDatabase" localSheetId="0" hidden="1">AGADIR!$A$9:$P$79</definedName>
    <definedName name="_xlnm._FilterDatabase" localSheetId="2" hidden="1">QUALI!#REF!</definedName>
    <definedName name="_xlnm._FilterDatabase" localSheetId="1" hidden="1">'QUALI NV'!$A$8:$GU$30</definedName>
    <definedName name="_xlnm.Print_Titles" localSheetId="0">AGADIR!$1:$9</definedName>
    <definedName name="_xlnm.Print_Titles" localSheetId="1">'QUALI NV'!$1:$8</definedName>
    <definedName name="_xlnm.Print_Titles" localSheetId="5">SOM!$1:$7</definedName>
    <definedName name="_xlnm.Print_Titles" localSheetId="6">'SOM CUMUL'!$1:$7</definedName>
    <definedName name="_xlnm.Print_Titles" localSheetId="7">SOM_quali!$1:$7</definedName>
    <definedName name="_xlnm.Print_Titles" localSheetId="3">VMM!$1:$7</definedName>
    <definedName name="_xlnm.Print_Titles" localSheetId="4">'VMM CUMUL'!$1:$7</definedName>
    <definedName name="_xlnm.Print_Titles" localSheetId="8">VMM_quali!$1:$7</definedName>
  </definedNames>
  <calcPr calcId="191029"/>
</workbook>
</file>

<file path=xl/calcChain.xml><?xml version="1.0" encoding="utf-8"?>
<calcChain xmlns="http://schemas.openxmlformats.org/spreadsheetml/2006/main">
  <c r="U1" i="181" l="1"/>
  <c r="U1" i="180"/>
  <c r="F8" i="178"/>
  <c r="T2" i="177"/>
  <c r="S1" i="176"/>
  <c r="T2" i="175"/>
  <c r="S1" i="174"/>
</calcChain>
</file>

<file path=xl/sharedStrings.xml><?xml version="1.0" encoding="utf-8"?>
<sst xmlns="http://schemas.openxmlformats.org/spreadsheetml/2006/main" count="3913" uniqueCount="246">
  <si>
    <t>MADEC</t>
  </si>
  <si>
    <t>SECTEUR</t>
  </si>
  <si>
    <t>REPRESENTANT</t>
  </si>
  <si>
    <t>C.A</t>
  </si>
  <si>
    <t>DIRECTION COMMERCIALE</t>
  </si>
  <si>
    <t>VINAIGRE</t>
  </si>
  <si>
    <t>CONFITURE</t>
  </si>
  <si>
    <t>MAYONNAISE</t>
  </si>
  <si>
    <t>MOUTARDE</t>
  </si>
  <si>
    <t>SAUCE PIQUANTE</t>
  </si>
  <si>
    <t>KETCH</t>
  </si>
  <si>
    <t>AB37</t>
  </si>
  <si>
    <t>AB72</t>
  </si>
  <si>
    <t>FR37</t>
  </si>
  <si>
    <t>FR72</t>
  </si>
  <si>
    <t>%</t>
  </si>
  <si>
    <t>CNS</t>
  </si>
  <si>
    <t>CNF STAR</t>
  </si>
  <si>
    <t>T.B SQ</t>
  </si>
  <si>
    <t>Florsol</t>
  </si>
  <si>
    <t xml:space="preserve"> 1/10</t>
  </si>
  <si>
    <t>5031*</t>
  </si>
  <si>
    <t>5032*</t>
  </si>
  <si>
    <t>5034*</t>
  </si>
  <si>
    <t>5021*</t>
  </si>
  <si>
    <t>AGENCE</t>
  </si>
  <si>
    <t>AN.</t>
  </si>
  <si>
    <t>409*20</t>
  </si>
  <si>
    <t>409*11</t>
  </si>
  <si>
    <t>409*02</t>
  </si>
  <si>
    <t>40510*</t>
  </si>
  <si>
    <t>40613*</t>
  </si>
  <si>
    <t>88 GM</t>
  </si>
  <si>
    <t>FUS</t>
  </si>
  <si>
    <t>GLACES</t>
  </si>
  <si>
    <t>100G</t>
  </si>
  <si>
    <t>4 L</t>
  </si>
  <si>
    <t>SUC</t>
  </si>
  <si>
    <t>NS 24</t>
  </si>
  <si>
    <t>J 50</t>
  </si>
  <si>
    <t>I 50</t>
  </si>
  <si>
    <t>Sup Cr.</t>
  </si>
  <si>
    <t>BENTTYB</t>
  </si>
  <si>
    <t>CACAO</t>
  </si>
  <si>
    <t>COLORANT</t>
  </si>
  <si>
    <t>MOUSSE</t>
  </si>
  <si>
    <t>CHOCAO</t>
  </si>
  <si>
    <t>BOUILLON</t>
  </si>
  <si>
    <t>FLAN</t>
  </si>
  <si>
    <t>LEVURE</t>
  </si>
  <si>
    <t>AGADIR</t>
  </si>
  <si>
    <t>AGADIR GROS VMM</t>
  </si>
  <si>
    <t>AGADIR GROS SOM</t>
  </si>
  <si>
    <t>335 ZERROUKI JAMAL</t>
  </si>
  <si>
    <t>420 EL MANSOURI OMAR</t>
  </si>
  <si>
    <t>CDZ AGADIR GROS</t>
  </si>
  <si>
    <t>057 LAHBI HICHAM</t>
  </si>
  <si>
    <t>CDZ AGADIR DET1</t>
  </si>
  <si>
    <t>CDZ AGADIR DET2</t>
  </si>
  <si>
    <t>CDA AGADIR</t>
  </si>
  <si>
    <t>C.A (ht)</t>
  </si>
  <si>
    <t>CONSERVES</t>
  </si>
  <si>
    <t>CONDIMENTS</t>
  </si>
  <si>
    <t>EnCours</t>
  </si>
  <si>
    <t>par Jrs</t>
  </si>
  <si>
    <t>OBJ</t>
  </si>
  <si>
    <t>REAL</t>
  </si>
  <si>
    <t>Commande</t>
  </si>
  <si>
    <t>Reste à Real</t>
  </si>
  <si>
    <t>CUMUL</t>
  </si>
  <si>
    <t>Secteur</t>
  </si>
  <si>
    <t>Agence</t>
  </si>
  <si>
    <t>4/ 24 Jours Sont Ecoulées</t>
  </si>
  <si>
    <t>Prorata  :</t>
  </si>
  <si>
    <t>Etat Suivi des Objectifs SOM/VMM Fin</t>
  </si>
  <si>
    <t>MADEC S.A</t>
  </si>
  <si>
    <t>TPR</t>
  </si>
  <si>
    <t>REF MVT</t>
  </si>
  <si>
    <t>Nbres DE REFERENCE</t>
  </si>
  <si>
    <t>TCM</t>
  </si>
  <si>
    <t>CLIENT VISITE</t>
  </si>
  <si>
    <t>TSM</t>
  </si>
  <si>
    <t>Nbres BL</t>
  </si>
  <si>
    <t>ACM</t>
  </si>
  <si>
    <t>CLT FACTURE</t>
  </si>
  <si>
    <t>CLT PROGRAMME</t>
  </si>
  <si>
    <t>CIR.</t>
  </si>
  <si>
    <t>T</t>
  </si>
  <si>
    <t>Cat.</t>
  </si>
  <si>
    <t>REP.</t>
  </si>
  <si>
    <t>SEC.</t>
  </si>
  <si>
    <t>REG.</t>
  </si>
  <si>
    <t>Direction commerciale</t>
  </si>
  <si>
    <t>J-1</t>
  </si>
  <si>
    <t>SOM</t>
  </si>
  <si>
    <t>VMM</t>
  </si>
  <si>
    <t>VIT</t>
  </si>
  <si>
    <t>CHAR</t>
  </si>
  <si>
    <t>MARGAFRIQUE</t>
  </si>
  <si>
    <t>AUTRES</t>
  </si>
  <si>
    <t>L/BL</t>
  </si>
  <si>
    <t>Moy L/BL</t>
  </si>
  <si>
    <t>Obj L/BL</t>
  </si>
  <si>
    <t>Y60 ATOUAOU AIMAD</t>
  </si>
  <si>
    <t>Y59 EL GHANMI MOHAMED</t>
  </si>
  <si>
    <t>Assortiment</t>
  </si>
  <si>
    <t>Prioritaire</t>
  </si>
  <si>
    <t>INZEGANE SOM</t>
  </si>
  <si>
    <t>INZEGANE VMM</t>
  </si>
  <si>
    <t>AIT MELLOUL SOM</t>
  </si>
  <si>
    <t>AIT MELLOUL VMM</t>
  </si>
  <si>
    <t>Péride Du : 01/02/2018 Au :03/02/2018</t>
  </si>
  <si>
    <t>CDZ</t>
  </si>
  <si>
    <t>SUCRE VANILLE</t>
  </si>
  <si>
    <t>F78 GHOUSMI MOURAD</t>
  </si>
  <si>
    <t>F82 AKKA ABDESSLAM</t>
  </si>
  <si>
    <t xml:space="preserve">VENTES EN CA HT DES PRODUITS 20/80 POUR LA STE VMM </t>
  </si>
  <si>
    <t xml:space="preserve">VENTES EN CA HT DES PRODUITS 20/80 POUR LA STE SOM </t>
  </si>
  <si>
    <t>Représentant</t>
  </si>
  <si>
    <t>Famille</t>
  </si>
  <si>
    <t>CPA COMPTOIR AGADIR</t>
  </si>
  <si>
    <t>T45 FAICAL GOUIZID</t>
  </si>
  <si>
    <t>% vs Trend</t>
  </si>
  <si>
    <t>Trend</t>
  </si>
  <si>
    <t>Score ACM</t>
  </si>
  <si>
    <t>% Obj</t>
  </si>
  <si>
    <t xml:space="preserve">Obj </t>
  </si>
  <si>
    <t>% vs Obj</t>
  </si>
  <si>
    <t>Obj ACM</t>
  </si>
  <si>
    <t>22</t>
  </si>
  <si>
    <t>Etat Suivi Qualitatif SOM/VMM</t>
  </si>
  <si>
    <t>T89 AKNOUN MOHAMED</t>
  </si>
  <si>
    <t>TAROUDANT SOM VMM</t>
  </si>
  <si>
    <t>OULED TEIMA SOM VMM</t>
  </si>
  <si>
    <t>TIZNIT SOM VMM</t>
  </si>
  <si>
    <t>GUELMIM SOM VMM</t>
  </si>
  <si>
    <t>AGADIR EXTERIEUR SOM VMM</t>
  </si>
  <si>
    <t>K60 ELHAOUZI RACHID</t>
  </si>
  <si>
    <t>AGADIR HAY SALAM VMM</t>
  </si>
  <si>
    <t>AGADIR HAY EL MOHAMADI VMM</t>
  </si>
  <si>
    <t>AGADIR HAY EL MOHAMADI SOM</t>
  </si>
  <si>
    <t>AGADIR HAY SALAM SOM</t>
  </si>
  <si>
    <t>K91 BAIZ MOHAMED</t>
  </si>
  <si>
    <t>Obj TSM</t>
  </si>
  <si>
    <t>D48 IBACH MOHAMED</t>
  </si>
  <si>
    <t>D45 OUARSSASSA YASSINE</t>
  </si>
  <si>
    <t>CHAKIB ELFIL</t>
  </si>
  <si>
    <t>AGADIR TIKIOUINE SOM</t>
  </si>
  <si>
    <t>AGADIR TIKIOUINE VMM</t>
  </si>
  <si>
    <t>485 NAMOUSS ABDESSAMAD</t>
  </si>
  <si>
    <t>BOUIZAKARN SOM</t>
  </si>
  <si>
    <t>SUIVI QUALI FDV SOM-VMM AU 8 AOUT 2022</t>
  </si>
  <si>
    <t>D86 ACHAOUI AZIZ</t>
  </si>
  <si>
    <t>E14 BOUMDIANE MOHAMED</t>
  </si>
  <si>
    <t>MISWAK</t>
  </si>
  <si>
    <t>Obj Nbres DE REFERENCE</t>
  </si>
  <si>
    <t>CENTRE VILLE VMM</t>
  </si>
  <si>
    <t>CENTRE VILLE SOM</t>
  </si>
  <si>
    <t>E60 BOUALLALI FARID</t>
  </si>
  <si>
    <t>E66 MOUTAOUAKIL MOSTAFA</t>
  </si>
  <si>
    <t>BOUTMEZGUINE EL MOSTAFA</t>
  </si>
  <si>
    <t>%%</t>
  </si>
  <si>
    <t>J23 ACHTOUK LAHOUCINE</t>
  </si>
  <si>
    <t>VIDE</t>
  </si>
  <si>
    <t>TAROUDANTE EXT IDAOUTANANE</t>
  </si>
  <si>
    <t>J78 LASRI EL HOUCINE</t>
  </si>
  <si>
    <t>JJ2 EL ASERY YOUSSEF</t>
  </si>
  <si>
    <t>O30 BOUDHOUR MBAREK</t>
  </si>
  <si>
    <t>TANTAN SOM VMM</t>
  </si>
  <si>
    <t>O42 BENOUALLAD MY ZAKARIA</t>
  </si>
  <si>
    <t>SAHARA GROS SOM</t>
  </si>
  <si>
    <t>AGADIR SUPER MARCHE</t>
  </si>
  <si>
    <t>F77 EL MEZAOUARI YOUSSEF</t>
  </si>
  <si>
    <t>SAHARA GROS VMM</t>
  </si>
  <si>
    <t>I03 EL OUAHMI ACHRAF</t>
  </si>
  <si>
    <t>SUD</t>
  </si>
  <si>
    <t>PREV</t>
  </si>
  <si>
    <t>V</t>
  </si>
  <si>
    <t>GROS</t>
  </si>
  <si>
    <t>S</t>
  </si>
  <si>
    <t>SV</t>
  </si>
  <si>
    <t>T.GROS AGADIR</t>
  </si>
  <si>
    <t>DET</t>
  </si>
  <si>
    <t>CNV</t>
  </si>
  <si>
    <t>VS</t>
  </si>
  <si>
    <t>T. DET 2 AGADIR</t>
  </si>
  <si>
    <t>T. DET 1 AGADIR</t>
  </si>
  <si>
    <t>TOTAL AGENCE AGADIR</t>
  </si>
  <si>
    <t>32 522%</t>
  </si>
  <si>
    <t>J54 AIT KHALI ABDREZZAK</t>
  </si>
  <si>
    <t>O88 OUAZIZ ABDELLATIF</t>
  </si>
  <si>
    <t>MOUSSES</t>
  </si>
  <si>
    <t>AGADIR SUPER MARCHE HPC</t>
  </si>
  <si>
    <t>377 MANSOUR LAHCEN</t>
  </si>
  <si>
    <t>F77 EL MEZRAOUI YOUSSEF</t>
  </si>
  <si>
    <t>11 201%</t>
  </si>
  <si>
    <t>89 459%</t>
  </si>
  <si>
    <t>2 363%</t>
  </si>
  <si>
    <t>10 398%</t>
  </si>
  <si>
    <t>15 265%</t>
  </si>
  <si>
    <t>5 565%</t>
  </si>
  <si>
    <t>3 820%</t>
  </si>
  <si>
    <t>1 700%</t>
  </si>
  <si>
    <t>6 580%</t>
  </si>
  <si>
    <t>3 204%</t>
  </si>
  <si>
    <t>4 274%</t>
  </si>
  <si>
    <t>1 394%</t>
  </si>
  <si>
    <t>1 779%</t>
  </si>
  <si>
    <t>1 525%</t>
  </si>
  <si>
    <t>9 762%</t>
  </si>
  <si>
    <t>25 908%</t>
  </si>
  <si>
    <t>3 993%</t>
  </si>
  <si>
    <t>3 731%</t>
  </si>
  <si>
    <t xml:space="preserve">  JUIN </t>
  </si>
  <si>
    <t xml:space="preserve">  JUIN 2026</t>
  </si>
  <si>
    <t xml:space="preserve">  JUIN 2025/2026</t>
  </si>
  <si>
    <t>FIN  JUIN 2025/2026</t>
  </si>
  <si>
    <t>2 280%</t>
  </si>
  <si>
    <t>1 160%</t>
  </si>
  <si>
    <t>5 225%</t>
  </si>
  <si>
    <t>1 008%</t>
  </si>
  <si>
    <t>Péride Du : 01/06/2026 Au :05/06/2026</t>
  </si>
  <si>
    <t>5/ 24 Jours Sont Ecoulées</t>
  </si>
  <si>
    <t>4 574%</t>
  </si>
  <si>
    <t>19 112%</t>
  </si>
  <si>
    <t>18 575%</t>
  </si>
  <si>
    <t>1 550%</t>
  </si>
  <si>
    <t>5 545%</t>
  </si>
  <si>
    <t xml:space="preserve">Période Du : 01  JUIN  AU :5  JUIN </t>
  </si>
  <si>
    <t>8 462%</t>
  </si>
  <si>
    <t>3 880%</t>
  </si>
  <si>
    <t>5 373%</t>
  </si>
  <si>
    <t>4 978%</t>
  </si>
  <si>
    <t>3 709%</t>
  </si>
  <si>
    <t>5 414%</t>
  </si>
  <si>
    <t>1 063%</t>
  </si>
  <si>
    <t>5 574%</t>
  </si>
  <si>
    <t>2 104%</t>
  </si>
  <si>
    <t>3 907%</t>
  </si>
  <si>
    <t>2 640%</t>
  </si>
  <si>
    <t>1 199%</t>
  </si>
  <si>
    <t>1 445%</t>
  </si>
  <si>
    <t>1 953%</t>
  </si>
  <si>
    <t>1 266%</t>
  </si>
  <si>
    <t>1 401%</t>
  </si>
  <si>
    <t>1 235%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</si>
</sst>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[$-F800]dddd\,\ mmmm\ dd\,\ yyyy"/>
    <numFmt numFmtId="167" formatCode="[$-F800]dddd\,&quot; &quot;mmmm&quot; &quot;dd\,&quot; &quot;yyyy"/>
    <numFmt numFmtId="168" formatCode="0.000000"/>
    <numFmt numFmtId="169" formatCode="0.%"/>
    <numFmt numFmtId="170" formatCode="#,###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 Baltic"/>
    </font>
    <font>
      <sz val="8"/>
      <name val="Arial Baltic"/>
      <family val="2"/>
      <charset val="186"/>
    </font>
    <font>
      <b/>
      <sz val="8"/>
      <name val="Arial Baltic"/>
      <family val="2"/>
      <charset val="186"/>
    </font>
    <font>
      <b/>
      <sz val="10"/>
      <name val="Arial"/>
      <family val="2"/>
    </font>
    <font>
      <sz val="10"/>
      <name val="MS Sans Serif"/>
      <family val="2"/>
      <charset val="178"/>
    </font>
    <font>
      <sz val="10"/>
      <name val="Garamond"/>
      <family val="1"/>
    </font>
    <font>
      <b/>
      <u/>
      <sz val="14"/>
      <color indexed="18"/>
      <name val="Garamond"/>
      <family val="1"/>
    </font>
    <font>
      <b/>
      <sz val="8"/>
      <color indexed="18"/>
      <name val="Arial Baltic"/>
    </font>
    <font>
      <b/>
      <u/>
      <sz val="10"/>
      <color indexed="18"/>
      <name val="Arial"/>
      <family val="2"/>
    </font>
    <font>
      <sz val="9"/>
      <name val="Garamond"/>
      <family val="1"/>
    </font>
    <font>
      <sz val="8"/>
      <color indexed="18"/>
      <name val="Arial Baltic"/>
      <family val="2"/>
      <charset val="186"/>
    </font>
    <font>
      <sz val="10"/>
      <color indexed="18"/>
      <name val="MS Sans Serif"/>
      <family val="2"/>
      <charset val="178"/>
    </font>
    <font>
      <sz val="10"/>
      <color indexed="18"/>
      <name val="Arial"/>
      <family val="2"/>
    </font>
    <font>
      <b/>
      <sz val="12"/>
      <color indexed="18"/>
      <name val="High Tower Text"/>
      <family val="1"/>
    </font>
    <font>
      <sz val="10"/>
      <name val="Arial"/>
      <family val="2"/>
    </font>
    <font>
      <b/>
      <sz val="8"/>
      <color indexed="8"/>
      <name val="Arial Baltic"/>
      <family val="2"/>
      <charset val="186"/>
    </font>
    <font>
      <b/>
      <u/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56"/>
      <name val="Garamond"/>
      <family val="1"/>
    </font>
    <font>
      <b/>
      <sz val="9"/>
      <name val="Garamond"/>
      <family val="1"/>
    </font>
    <font>
      <sz val="8"/>
      <name val="Garamond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indexed="56"/>
      <name val="Garamond"/>
      <family val="1"/>
    </font>
    <font>
      <u/>
      <sz val="9"/>
      <color theme="3"/>
      <name val="Garamond"/>
      <family val="1"/>
    </font>
    <font>
      <b/>
      <sz val="9"/>
      <color theme="0"/>
      <name val="Garamond"/>
      <family val="1"/>
    </font>
    <font>
      <sz val="9"/>
      <color theme="0"/>
      <name val="Garamond"/>
      <family val="1"/>
    </font>
    <font>
      <b/>
      <sz val="10"/>
      <color rgb="FF7030A0"/>
      <name val="Garamond"/>
      <family val="1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0"/>
      <color theme="3" tint="0.39997558519241921"/>
      <name val="Garamond"/>
      <family val="1"/>
    </font>
    <font>
      <b/>
      <sz val="10"/>
      <color rgb="FF0070C0"/>
      <name val="Garamond"/>
      <family val="1"/>
    </font>
    <font>
      <b/>
      <sz val="11"/>
      <color rgb="FF0070C0"/>
      <name val="Garamond"/>
      <family val="1"/>
    </font>
    <font>
      <b/>
      <sz val="18"/>
      <color theme="0"/>
      <name val="Garamond"/>
      <family val="1"/>
    </font>
    <font>
      <sz val="8"/>
      <color theme="0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0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070C0"/>
        <bgColor indexed="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0"/>
      </patternFill>
    </fill>
    <fill>
      <patternFill patternType="solid">
        <fgColor rgb="FFD0F9FE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01">
    <xf numFmtId="0" fontId="0" fillId="0" borderId="0"/>
    <xf numFmtId="164" fontId="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top"/>
    </xf>
    <xf numFmtId="0" fontId="8" fillId="0" borderId="0"/>
    <xf numFmtId="0" fontId="27" fillId="0" borderId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" fillId="0" borderId="0">
      <alignment vertical="top"/>
    </xf>
    <xf numFmtId="164" fontId="3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/>
    <xf numFmtId="0" fontId="3" fillId="0" borderId="0">
      <alignment vertical="top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>
      <alignment vertical="top"/>
    </xf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5">
    <xf numFmtId="0" fontId="0" fillId="0" borderId="0" xfId="0"/>
    <xf numFmtId="0" fontId="0" fillId="0" borderId="0" xfId="0" applyFill="1"/>
    <xf numFmtId="0" fontId="11" fillId="0" borderId="0" xfId="33" applyFont="1" applyFill="1" applyBorder="1" applyAlignment="1">
      <alignment horizontal="center"/>
    </xf>
    <xf numFmtId="0" fontId="16" fillId="0" borderId="0" xfId="0" applyFont="1" applyFill="1"/>
    <xf numFmtId="0" fontId="4" fillId="0" borderId="0" xfId="33" applyFont="1" applyFill="1" applyBorder="1" applyAlignment="1">
      <alignment horizontal="center"/>
    </xf>
    <xf numFmtId="0" fontId="11" fillId="0" borderId="0" xfId="33" applyFont="1" applyFill="1" applyBorder="1" applyAlignment="1">
      <alignment horizontal="left"/>
    </xf>
    <xf numFmtId="0" fontId="14" fillId="0" borderId="0" xfId="33" applyFont="1" applyFill="1" applyBorder="1"/>
    <xf numFmtId="0" fontId="15" fillId="0" borderId="0" xfId="33" applyFont="1" applyFill="1" applyAlignment="1">
      <alignment horizontal="center"/>
    </xf>
    <xf numFmtId="0" fontId="11" fillId="0" borderId="0" xfId="33" applyFont="1" applyFill="1" applyBorder="1" applyAlignment="1">
      <alignment horizontal="left" vertical="top"/>
    </xf>
    <xf numFmtId="0" fontId="10" fillId="0" borderId="0" xfId="33" applyFont="1" applyFill="1" applyAlignment="1">
      <alignment horizontal="center"/>
    </xf>
    <xf numFmtId="0" fontId="14" fillId="0" borderId="0" xfId="33" applyFont="1" applyFill="1" applyBorder="1" applyAlignment="1">
      <alignment horizontal="center"/>
    </xf>
    <xf numFmtId="0" fontId="12" fillId="0" borderId="0" xfId="33" applyFont="1" applyFill="1" applyAlignment="1">
      <alignment horizontal="center"/>
    </xf>
    <xf numFmtId="0" fontId="15" fillId="0" borderId="0" xfId="33" applyFont="1" applyFill="1" applyAlignment="1"/>
    <xf numFmtId="0" fontId="5" fillId="0" borderId="0" xfId="33" applyFont="1" applyFill="1" applyBorder="1" applyAlignment="1">
      <alignment horizontal="center"/>
    </xf>
    <xf numFmtId="0" fontId="5" fillId="0" borderId="0" xfId="33" applyFont="1" applyFill="1" applyBorder="1"/>
    <xf numFmtId="0" fontId="8" fillId="0" borderId="0" xfId="33" applyFill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12" fillId="0" borderId="0" xfId="0" applyFont="1" applyFill="1" applyAlignment="1">
      <alignment horizontal="left"/>
    </xf>
    <xf numFmtId="0" fontId="0" fillId="0" borderId="9" xfId="0" applyFill="1" applyBorder="1" applyAlignment="1"/>
    <xf numFmtId="0" fontId="0" fillId="0" borderId="0" xfId="0" applyFill="1" applyAlignment="1"/>
    <xf numFmtId="0" fontId="0" fillId="0" borderId="10" xfId="0" applyFill="1" applyBorder="1" applyAlignment="1"/>
    <xf numFmtId="0" fontId="6" fillId="3" borderId="11" xfId="33" applyFont="1" applyFill="1" applyBorder="1" applyAlignment="1">
      <alignment horizontal="center"/>
    </xf>
    <xf numFmtId="0" fontId="6" fillId="3" borderId="12" xfId="33" applyFont="1" applyFill="1" applyBorder="1" applyAlignment="1">
      <alignment horizontal="center"/>
    </xf>
    <xf numFmtId="0" fontId="6" fillId="3" borderId="13" xfId="33" applyFont="1" applyFill="1" applyBorder="1" applyAlignment="1">
      <alignment horizontal="center"/>
    </xf>
    <xf numFmtId="0" fontId="6" fillId="3" borderId="14" xfId="33" applyFont="1" applyFill="1" applyBorder="1" applyAlignment="1">
      <alignment horizontal="center"/>
    </xf>
    <xf numFmtId="0" fontId="6" fillId="3" borderId="15" xfId="33" applyFont="1" applyFill="1" applyBorder="1" applyAlignment="1">
      <alignment horizontal="center"/>
    </xf>
    <xf numFmtId="0" fontId="6" fillId="3" borderId="16" xfId="33" applyFont="1" applyFill="1" applyBorder="1" applyAlignment="1">
      <alignment horizontal="center"/>
    </xf>
    <xf numFmtId="0" fontId="6" fillId="3" borderId="5" xfId="33" applyFont="1" applyFill="1" applyBorder="1" applyAlignment="1">
      <alignment horizontal="center"/>
    </xf>
    <xf numFmtId="0" fontId="6" fillId="3" borderId="17" xfId="33" applyFont="1" applyFill="1" applyBorder="1" applyAlignment="1">
      <alignment horizontal="center"/>
    </xf>
    <xf numFmtId="0" fontId="6" fillId="3" borderId="18" xfId="33" applyFont="1" applyFill="1" applyBorder="1" applyAlignment="1">
      <alignment horizontal="center"/>
    </xf>
    <xf numFmtId="0" fontId="6" fillId="3" borderId="19" xfId="33" applyFont="1" applyFill="1" applyBorder="1" applyAlignment="1">
      <alignment horizontal="center"/>
    </xf>
    <xf numFmtId="0" fontId="6" fillId="3" borderId="7" xfId="33" applyFont="1" applyFill="1" applyBorder="1" applyAlignment="1">
      <alignment horizontal="center"/>
    </xf>
    <xf numFmtId="0" fontId="6" fillId="3" borderId="6" xfId="33" applyFont="1" applyFill="1" applyBorder="1" applyAlignment="1">
      <alignment horizontal="center"/>
    </xf>
    <xf numFmtId="0" fontId="6" fillId="3" borderId="20" xfId="33" applyFont="1" applyFill="1" applyBorder="1" applyAlignment="1">
      <alignment horizontal="center"/>
    </xf>
    <xf numFmtId="0" fontId="6" fillId="3" borderId="21" xfId="33" applyFont="1" applyFill="1" applyBorder="1" applyAlignment="1">
      <alignment horizontal="center"/>
    </xf>
    <xf numFmtId="0" fontId="6" fillId="3" borderId="22" xfId="33" applyFont="1" applyFill="1" applyBorder="1" applyAlignment="1">
      <alignment horizontal="center"/>
    </xf>
    <xf numFmtId="0" fontId="6" fillId="3" borderId="23" xfId="33" applyFont="1" applyFill="1" applyBorder="1" applyAlignment="1">
      <alignment horizontal="center"/>
    </xf>
    <xf numFmtId="0" fontId="6" fillId="3" borderId="24" xfId="33" applyFont="1" applyFill="1" applyBorder="1" applyAlignment="1">
      <alignment horizontal="center"/>
    </xf>
    <xf numFmtId="0" fontId="6" fillId="3" borderId="25" xfId="0" applyFont="1" applyFill="1" applyBorder="1" applyAlignment="1">
      <alignment horizontal="left"/>
    </xf>
    <xf numFmtId="0" fontId="6" fillId="3" borderId="26" xfId="0" applyFont="1" applyFill="1" applyBorder="1" applyAlignment="1">
      <alignment horizontal="center"/>
    </xf>
    <xf numFmtId="0" fontId="18" fillId="0" borderId="0" xfId="10" applyFill="1"/>
    <xf numFmtId="0" fontId="18" fillId="3" borderId="10" xfId="10" applyFill="1" applyBorder="1"/>
    <xf numFmtId="0" fontId="6" fillId="3" borderId="18" xfId="10" applyFont="1" applyFill="1" applyBorder="1" applyAlignment="1">
      <alignment horizontal="center"/>
    </xf>
    <xf numFmtId="0" fontId="6" fillId="3" borderId="7" xfId="10" applyFont="1" applyFill="1" applyBorder="1" applyAlignment="1">
      <alignment horizontal="center"/>
    </xf>
    <xf numFmtId="0" fontId="6" fillId="3" borderId="19" xfId="10" applyFont="1" applyFill="1" applyBorder="1" applyAlignment="1">
      <alignment horizontal="center"/>
    </xf>
    <xf numFmtId="0" fontId="6" fillId="3" borderId="6" xfId="10" applyFont="1" applyFill="1" applyBorder="1" applyAlignment="1">
      <alignment horizontal="center"/>
    </xf>
    <xf numFmtId="0" fontId="6" fillId="3" borderId="29" xfId="10" applyFont="1" applyFill="1" applyBorder="1" applyAlignment="1">
      <alignment horizontal="center"/>
    </xf>
    <xf numFmtId="0" fontId="19" fillId="3" borderId="19" xfId="10" applyFont="1" applyFill="1" applyBorder="1" applyAlignment="1">
      <alignment horizontal="center"/>
    </xf>
    <xf numFmtId="0" fontId="19" fillId="3" borderId="7" xfId="10" applyFont="1" applyFill="1" applyBorder="1" applyAlignment="1">
      <alignment horizontal="center"/>
    </xf>
    <xf numFmtId="0" fontId="19" fillId="3" borderId="18" xfId="10" applyFont="1" applyFill="1" applyBorder="1" applyAlignment="1">
      <alignment horizontal="center"/>
    </xf>
    <xf numFmtId="0" fontId="4" fillId="3" borderId="30" xfId="10" applyFont="1" applyFill="1" applyBorder="1" applyAlignment="1">
      <alignment horizontal="center"/>
    </xf>
    <xf numFmtId="0" fontId="6" fillId="3" borderId="26" xfId="10" applyFont="1" applyFill="1" applyBorder="1" applyAlignment="1">
      <alignment horizontal="center"/>
    </xf>
    <xf numFmtId="0" fontId="6" fillId="3" borderId="25" xfId="10" applyFont="1" applyFill="1" applyBorder="1" applyAlignment="1">
      <alignment horizontal="left"/>
    </xf>
    <xf numFmtId="0" fontId="6" fillId="3" borderId="12" xfId="10" applyFont="1" applyFill="1" applyBorder="1" applyAlignment="1">
      <alignment horizontal="center"/>
    </xf>
    <xf numFmtId="12" fontId="6" fillId="3" borderId="5" xfId="10" applyNumberFormat="1" applyFont="1" applyFill="1" applyBorder="1" applyAlignment="1">
      <alignment horizontal="center"/>
    </xf>
    <xf numFmtId="0" fontId="6" fillId="3" borderId="13" xfId="10" applyFont="1" applyFill="1" applyBorder="1" applyAlignment="1">
      <alignment horizontal="center"/>
    </xf>
    <xf numFmtId="0" fontId="6" fillId="3" borderId="4" xfId="10" applyFont="1" applyFill="1" applyBorder="1" applyAlignment="1">
      <alignment horizontal="center"/>
    </xf>
    <xf numFmtId="0" fontId="6" fillId="3" borderId="31" xfId="10" applyFont="1" applyFill="1" applyBorder="1" applyAlignment="1">
      <alignment horizontal="center"/>
    </xf>
    <xf numFmtId="0" fontId="6" fillId="3" borderId="5" xfId="10" applyFont="1" applyFill="1" applyBorder="1" applyAlignment="1">
      <alignment horizontal="center"/>
    </xf>
    <xf numFmtId="0" fontId="19" fillId="3" borderId="13" xfId="10" applyFont="1" applyFill="1" applyBorder="1" applyAlignment="1">
      <alignment horizontal="center"/>
    </xf>
    <xf numFmtId="0" fontId="19" fillId="3" borderId="5" xfId="10" applyFont="1" applyFill="1" applyBorder="1" applyAlignment="1">
      <alignment horizontal="center"/>
    </xf>
    <xf numFmtId="0" fontId="19" fillId="3" borderId="12" xfId="10" applyFont="1" applyFill="1" applyBorder="1" applyAlignment="1">
      <alignment horizontal="center"/>
    </xf>
    <xf numFmtId="0" fontId="4" fillId="0" borderId="0" xfId="10" applyFont="1" applyFill="1" applyBorder="1" applyAlignment="1">
      <alignment horizontal="center"/>
    </xf>
    <xf numFmtId="0" fontId="5" fillId="0" borderId="0" xfId="10" applyFont="1" applyFill="1" applyBorder="1"/>
    <xf numFmtId="0" fontId="5" fillId="0" borderId="0" xfId="10" applyFont="1" applyFill="1" applyBorder="1" applyAlignment="1">
      <alignment horizontal="center"/>
    </xf>
    <xf numFmtId="0" fontId="6" fillId="3" borderId="2" xfId="10" applyFont="1" applyFill="1" applyBorder="1" applyAlignment="1">
      <alignment horizontal="center"/>
    </xf>
    <xf numFmtId="0" fontId="6" fillId="3" borderId="32" xfId="10" applyFont="1" applyFill="1" applyBorder="1" applyAlignment="1">
      <alignment horizontal="center"/>
    </xf>
    <xf numFmtId="0" fontId="20" fillId="0" borderId="0" xfId="10" applyFont="1" applyFill="1"/>
    <xf numFmtId="0" fontId="20" fillId="0" borderId="0" xfId="10" applyFont="1" applyFill="1" applyAlignment="1"/>
    <xf numFmtId="0" fontId="12" fillId="0" borderId="0" xfId="10" applyFont="1" applyFill="1" applyAlignment="1"/>
    <xf numFmtId="0" fontId="12" fillId="0" borderId="0" xfId="10" applyFont="1" applyFill="1" applyAlignment="1">
      <alignment horizontal="left"/>
    </xf>
    <xf numFmtId="166" fontId="18" fillId="0" borderId="0" xfId="10" applyNumberFormat="1" applyFill="1" applyAlignment="1"/>
    <xf numFmtId="0" fontId="10" fillId="0" borderId="0" xfId="10" applyFont="1" applyFill="1" applyAlignment="1">
      <alignment horizontal="center"/>
    </xf>
    <xf numFmtId="0" fontId="11" fillId="0" borderId="0" xfId="10" applyFont="1" applyFill="1" applyBorder="1" applyAlignment="1">
      <alignment horizontal="left" vertical="top"/>
    </xf>
    <xf numFmtId="0" fontId="11" fillId="0" borderId="0" xfId="10" applyFont="1" applyFill="1" applyBorder="1" applyAlignment="1">
      <alignment horizontal="left"/>
    </xf>
    <xf numFmtId="0" fontId="6" fillId="3" borderId="32" xfId="10" applyFont="1" applyFill="1" applyBorder="1" applyAlignment="1">
      <alignment horizontal="center"/>
    </xf>
    <xf numFmtId="0" fontId="6" fillId="3" borderId="2" xfId="10" applyFont="1" applyFill="1" applyBorder="1" applyAlignment="1">
      <alignment horizontal="center"/>
    </xf>
    <xf numFmtId="0" fontId="13" fillId="4" borderId="0" xfId="22" applyFont="1" applyFill="1" applyAlignment="1"/>
    <xf numFmtId="3" fontId="13" fillId="4" borderId="0" xfId="22" applyNumberFormat="1" applyFont="1" applyFill="1" applyAlignment="1"/>
    <xf numFmtId="9" fontId="13" fillId="4" borderId="0" xfId="35" applyFont="1" applyFill="1" applyAlignment="1">
      <alignment horizontal="right"/>
    </xf>
    <xf numFmtId="3" fontId="9" fillId="0" borderId="7" xfId="22" applyNumberFormat="1" applyFont="1" applyBorder="1" applyAlignment="1"/>
    <xf numFmtId="0" fontId="23" fillId="4" borderId="7" xfId="22" applyFont="1" applyFill="1" applyBorder="1" applyAlignment="1"/>
    <xf numFmtId="9" fontId="9" fillId="0" borderId="5" xfId="35" applyFont="1" applyBorder="1" applyAlignment="1">
      <alignment horizontal="right"/>
    </xf>
    <xf numFmtId="3" fontId="9" fillId="0" borderId="5" xfId="22" applyNumberFormat="1" applyFont="1" applyBorder="1" applyAlignment="1"/>
    <xf numFmtId="0" fontId="23" fillId="4" borderId="5" xfId="22" applyFont="1" applyFill="1" applyBorder="1" applyAlignment="1"/>
    <xf numFmtId="3" fontId="9" fillId="0" borderId="3" xfId="22" applyNumberFormat="1" applyFont="1" applyBorder="1" applyAlignment="1"/>
    <xf numFmtId="0" fontId="23" fillId="4" borderId="3" xfId="22" applyFont="1" applyFill="1" applyBorder="1" applyAlignment="1"/>
    <xf numFmtId="0" fontId="24" fillId="4" borderId="0" xfId="22" applyFont="1" applyFill="1" applyAlignment="1"/>
    <xf numFmtId="9" fontId="13" fillId="4" borderId="35" xfId="35" applyFont="1" applyFill="1" applyBorder="1" applyAlignment="1">
      <alignment horizontal="right"/>
    </xf>
    <xf numFmtId="0" fontId="13" fillId="4" borderId="0" xfId="22" applyFont="1" applyFill="1" applyBorder="1" applyAlignment="1"/>
    <xf numFmtId="0" fontId="24" fillId="4" borderId="5" xfId="22" applyFont="1" applyFill="1" applyBorder="1" applyAlignment="1">
      <alignment horizontal="right"/>
    </xf>
    <xf numFmtId="9" fontId="24" fillId="4" borderId="0" xfId="35" applyFont="1" applyFill="1" applyAlignment="1">
      <alignment horizontal="left"/>
    </xf>
    <xf numFmtId="0" fontId="25" fillId="4" borderId="0" xfId="22" applyFont="1" applyFill="1" applyAlignment="1"/>
    <xf numFmtId="0" fontId="22" fillId="0" borderId="0" xfId="13"/>
    <xf numFmtId="0" fontId="7" fillId="0" borderId="0" xfId="13" applyFont="1"/>
    <xf numFmtId="9" fontId="22" fillId="0" borderId="0" xfId="13" applyNumberFormat="1"/>
    <xf numFmtId="9" fontId="7" fillId="0" borderId="0" xfId="13" applyNumberFormat="1" applyFont="1"/>
    <xf numFmtId="0" fontId="24" fillId="0" borderId="0" xfId="13" applyFont="1" applyFill="1" applyBorder="1" applyAlignment="1">
      <alignment horizontal="center"/>
    </xf>
    <xf numFmtId="3" fontId="24" fillId="0" borderId="0" xfId="13" applyNumberFormat="1" applyFont="1" applyFill="1" applyBorder="1" applyAlignment="1">
      <alignment horizontal="center"/>
    </xf>
    <xf numFmtId="0" fontId="22" fillId="5" borderId="19" xfId="13" applyFill="1" applyBorder="1" applyAlignment="1">
      <alignment horizontal="center"/>
    </xf>
    <xf numFmtId="0" fontId="21" fillId="6" borderId="7" xfId="34" applyFont="1" applyFill="1" applyBorder="1" applyAlignment="1">
      <alignment horizontal="center" wrapText="1"/>
    </xf>
    <xf numFmtId="0" fontId="21" fillId="6" borderId="18" xfId="34" applyFont="1" applyFill="1" applyBorder="1" applyAlignment="1">
      <alignment horizontal="center" wrapText="1"/>
    </xf>
    <xf numFmtId="0" fontId="21" fillId="6" borderId="19" xfId="34" applyFont="1" applyFill="1" applyBorder="1" applyAlignment="1">
      <alignment horizontal="center" wrapText="1"/>
    </xf>
    <xf numFmtId="0" fontId="21" fillId="6" borderId="36" xfId="34" applyFont="1" applyFill="1" applyBorder="1" applyAlignment="1">
      <alignment horizontal="center" wrapText="1"/>
    </xf>
    <xf numFmtId="0" fontId="21" fillId="2" borderId="4" xfId="34" applyFont="1" applyFill="1" applyBorder="1" applyAlignment="1">
      <alignment horizontal="center"/>
    </xf>
    <xf numFmtId="0" fontId="21" fillId="2" borderId="5" xfId="34" applyFont="1" applyFill="1" applyBorder="1" applyAlignment="1">
      <alignment horizontal="center"/>
    </xf>
    <xf numFmtId="0" fontId="22" fillId="5" borderId="11" xfId="13" applyFill="1" applyBorder="1"/>
    <xf numFmtId="0" fontId="18" fillId="0" borderId="0" xfId="13" applyFont="1"/>
    <xf numFmtId="0" fontId="13" fillId="0" borderId="0" xfId="13" applyFont="1" applyFill="1"/>
    <xf numFmtId="0" fontId="24" fillId="0" borderId="0" xfId="13" applyFont="1" applyFill="1"/>
    <xf numFmtId="0" fontId="13" fillId="0" borderId="0" xfId="13" applyFont="1" applyFill="1" applyBorder="1"/>
    <xf numFmtId="0" fontId="30" fillId="7" borderId="33" xfId="32" applyFont="1" applyFill="1" applyBorder="1" applyAlignment="1">
      <alignment horizontal="center"/>
    </xf>
    <xf numFmtId="3" fontId="31" fillId="7" borderId="33" xfId="22" applyNumberFormat="1" applyFont="1" applyFill="1" applyBorder="1" applyAlignment="1">
      <alignment horizontal="center"/>
    </xf>
    <xf numFmtId="1" fontId="30" fillId="7" borderId="33" xfId="22" applyNumberFormat="1" applyFont="1" applyFill="1" applyBorder="1" applyAlignment="1">
      <alignment horizontal="center"/>
    </xf>
    <xf numFmtId="3" fontId="30" fillId="7" borderId="33" xfId="22" applyNumberFormat="1" applyFont="1" applyFill="1" applyBorder="1" applyAlignment="1"/>
    <xf numFmtId="9" fontId="30" fillId="7" borderId="33" xfId="35" applyFont="1" applyFill="1" applyBorder="1" applyAlignment="1">
      <alignment horizontal="right"/>
    </xf>
    <xf numFmtId="1" fontId="30" fillId="7" borderId="33" xfId="22" applyNumberFormat="1" applyFont="1" applyFill="1" applyBorder="1" applyAlignment="1"/>
    <xf numFmtId="9" fontId="30" fillId="7" borderId="37" xfId="35" applyFont="1" applyFill="1" applyBorder="1" applyAlignment="1">
      <alignment horizontal="right"/>
    </xf>
    <xf numFmtId="3" fontId="30" fillId="7" borderId="38" xfId="22" applyNumberFormat="1" applyFont="1" applyFill="1" applyBorder="1" applyAlignment="1"/>
    <xf numFmtId="0" fontId="30" fillId="7" borderId="0" xfId="22" applyFont="1" applyFill="1" applyBorder="1" applyAlignment="1"/>
    <xf numFmtId="9" fontId="30" fillId="7" borderId="0" xfId="35" applyFont="1" applyFill="1" applyBorder="1" applyAlignment="1">
      <alignment horizontal="left"/>
    </xf>
    <xf numFmtId="9" fontId="30" fillId="7" borderId="0" xfId="35" applyFont="1" applyFill="1" applyBorder="1" applyAlignment="1">
      <alignment horizontal="right"/>
    </xf>
    <xf numFmtId="9" fontId="30" fillId="7" borderId="0" xfId="22" applyNumberFormat="1" applyFont="1" applyFill="1" applyBorder="1" applyAlignment="1"/>
    <xf numFmtId="17" fontId="30" fillId="7" borderId="0" xfId="22" applyNumberFormat="1" applyFont="1" applyFill="1" applyBorder="1" applyAlignment="1">
      <alignment horizontal="left"/>
    </xf>
    <xf numFmtId="3" fontId="31" fillId="7" borderId="0" xfId="22" applyNumberFormat="1" applyFont="1" applyFill="1" applyBorder="1" applyAlignment="1"/>
    <xf numFmtId="0" fontId="31" fillId="7" borderId="0" xfId="22" applyFont="1" applyFill="1" applyBorder="1" applyAlignment="1"/>
    <xf numFmtId="3" fontId="28" fillId="4" borderId="3" xfId="22" applyNumberFormat="1" applyFont="1" applyFill="1" applyBorder="1" applyAlignment="1"/>
    <xf numFmtId="3" fontId="28" fillId="4" borderId="5" xfId="22" applyNumberFormat="1" applyFont="1" applyFill="1" applyBorder="1" applyAlignment="1"/>
    <xf numFmtId="3" fontId="28" fillId="4" borderId="7" xfId="22" applyNumberFormat="1" applyFont="1" applyFill="1" applyBorder="1" applyAlignment="1"/>
    <xf numFmtId="4" fontId="22" fillId="0" borderId="0" xfId="13" applyNumberFormat="1"/>
    <xf numFmtId="1" fontId="30" fillId="7" borderId="33" xfId="44" applyNumberFormat="1" applyFont="1" applyFill="1" applyBorder="1" applyAlignment="1">
      <alignment horizontal="center"/>
    </xf>
    <xf numFmtId="10" fontId="7" fillId="0" borderId="0" xfId="13" applyNumberFormat="1" applyFont="1"/>
    <xf numFmtId="0" fontId="33" fillId="7" borderId="5" xfId="0" applyFont="1" applyFill="1" applyBorder="1"/>
    <xf numFmtId="0" fontId="33" fillId="7" borderId="0" xfId="0" applyFont="1" applyFill="1"/>
    <xf numFmtId="0" fontId="30" fillId="7" borderId="43" xfId="22" applyFont="1" applyFill="1" applyBorder="1" applyAlignment="1">
      <alignment horizontal="center"/>
    </xf>
    <xf numFmtId="0" fontId="30" fillId="7" borderId="44" xfId="22" applyFont="1" applyFill="1" applyBorder="1" applyAlignment="1">
      <alignment horizontal="center"/>
    </xf>
    <xf numFmtId="0" fontId="32" fillId="8" borderId="41" xfId="22" applyFont="1" applyFill="1" applyBorder="1" applyAlignment="1"/>
    <xf numFmtId="0" fontId="32" fillId="8" borderId="0" xfId="22" applyFont="1" applyFill="1" applyBorder="1" applyAlignment="1"/>
    <xf numFmtId="0" fontId="32" fillId="8" borderId="0" xfId="22" applyFont="1" applyFill="1" applyAlignment="1"/>
    <xf numFmtId="0" fontId="13" fillId="4" borderId="0" xfId="47" applyFont="1" applyFill="1" applyAlignment="1"/>
    <xf numFmtId="9" fontId="13" fillId="4" borderId="0" xfId="53" applyFont="1" applyFill="1" applyAlignment="1"/>
    <xf numFmtId="165" fontId="13" fillId="4" borderId="0" xfId="47" applyNumberFormat="1" applyFont="1" applyFill="1" applyAlignment="1"/>
    <xf numFmtId="165" fontId="13" fillId="4" borderId="0" xfId="60" applyNumberFormat="1" applyFont="1" applyFill="1" applyAlignment="1"/>
    <xf numFmtId="1" fontId="13" fillId="4" borderId="0" xfId="47" applyNumberFormat="1" applyFont="1" applyFill="1" applyAlignment="1"/>
    <xf numFmtId="3" fontId="13" fillId="4" borderId="0" xfId="47" applyNumberFormat="1" applyFont="1" applyFill="1" applyAlignment="1"/>
    <xf numFmtId="9" fontId="13" fillId="4" borderId="0" xfId="53" applyFont="1" applyFill="1" applyAlignment="1">
      <alignment horizontal="right"/>
    </xf>
    <xf numFmtId="9" fontId="13" fillId="4" borderId="0" xfId="55" applyFont="1" applyFill="1" applyAlignment="1">
      <alignment horizontal="right"/>
    </xf>
    <xf numFmtId="168" fontId="13" fillId="4" borderId="0" xfId="55" applyNumberFormat="1" applyFont="1" applyFill="1" applyAlignment="1">
      <alignment horizontal="right"/>
    </xf>
    <xf numFmtId="169" fontId="13" fillId="4" borderId="0" xfId="47" applyNumberFormat="1" applyFont="1" applyFill="1" applyAlignment="1"/>
    <xf numFmtId="169" fontId="13" fillId="4" borderId="0" xfId="53" applyNumberFormat="1" applyFont="1" applyFill="1" applyAlignment="1"/>
    <xf numFmtId="2" fontId="13" fillId="4" borderId="0" xfId="47" applyNumberFormat="1" applyFont="1" applyFill="1" applyAlignment="1"/>
    <xf numFmtId="2" fontId="13" fillId="4" borderId="0" xfId="60" applyNumberFormat="1" applyFont="1" applyFill="1" applyAlignment="1"/>
    <xf numFmtId="170" fontId="13" fillId="4" borderId="0" xfId="47" applyNumberFormat="1" applyFont="1" applyFill="1" applyAlignment="1"/>
    <xf numFmtId="169" fontId="13" fillId="4" borderId="0" xfId="53" applyNumberFormat="1" applyFont="1" applyFill="1" applyAlignment="1">
      <alignment horizontal="right"/>
    </xf>
    <xf numFmtId="169" fontId="0" fillId="0" borderId="0" xfId="0" applyNumberFormat="1"/>
    <xf numFmtId="2" fontId="0" fillId="0" borderId="0" xfId="0" applyNumberFormat="1"/>
    <xf numFmtId="170" fontId="0" fillId="0" borderId="0" xfId="0" applyNumberFormat="1"/>
    <xf numFmtId="169" fontId="0" fillId="9" borderId="0" xfId="0" applyNumberFormat="1" applyFill="1"/>
    <xf numFmtId="0" fontId="3" fillId="4" borderId="0" xfId="61" applyFill="1" applyAlignment="1">
      <alignment vertical="center"/>
    </xf>
    <xf numFmtId="0" fontId="34" fillId="7" borderId="50" xfId="61" applyFont="1" applyFill="1" applyBorder="1" applyAlignment="1">
      <alignment horizontal="center" vertical="center"/>
    </xf>
    <xf numFmtId="0" fontId="35" fillId="10" borderId="33" xfId="34" applyFont="1" applyFill="1" applyBorder="1" applyAlignment="1">
      <alignment horizontal="center" vertical="center" wrapText="1"/>
    </xf>
    <xf numFmtId="0" fontId="35" fillId="10" borderId="51" xfId="34" applyFont="1" applyFill="1" applyBorder="1" applyAlignment="1">
      <alignment horizontal="center" vertical="center" wrapText="1"/>
    </xf>
    <xf numFmtId="0" fontId="34" fillId="7" borderId="52" xfId="61" applyFont="1" applyFill="1" applyBorder="1" applyAlignment="1">
      <alignment horizontal="center" vertical="center" wrapText="1"/>
    </xf>
    <xf numFmtId="0" fontId="34" fillId="7" borderId="53" xfId="61" applyFont="1" applyFill="1" applyBorder="1" applyAlignment="1">
      <alignment horizontal="center" vertical="center"/>
    </xf>
    <xf numFmtId="0" fontId="35" fillId="10" borderId="54" xfId="34" applyFont="1" applyFill="1" applyBorder="1" applyAlignment="1">
      <alignment horizontal="center" vertical="center" wrapText="1"/>
    </xf>
    <xf numFmtId="0" fontId="35" fillId="10" borderId="50" xfId="34" applyFont="1" applyFill="1" applyBorder="1" applyAlignment="1">
      <alignment horizontal="center" vertical="center" wrapText="1"/>
    </xf>
    <xf numFmtId="165" fontId="34" fillId="11" borderId="1" xfId="60" applyFont="1" applyFill="1" applyBorder="1" applyAlignment="1">
      <alignment horizontal="center" wrapText="1"/>
    </xf>
    <xf numFmtId="9" fontId="35" fillId="12" borderId="50" xfId="53" applyFont="1" applyFill="1" applyBorder="1" applyAlignment="1">
      <alignment horizontal="center" vertical="center" wrapText="1"/>
    </xf>
    <xf numFmtId="0" fontId="35" fillId="10" borderId="55" xfId="34" applyFont="1" applyFill="1" applyBorder="1" applyAlignment="1">
      <alignment horizontal="center" vertical="center" wrapText="1"/>
    </xf>
    <xf numFmtId="0" fontId="36" fillId="10" borderId="47" xfId="34" applyFont="1" applyFill="1" applyBorder="1" applyAlignment="1">
      <alignment horizontal="center" vertical="center" wrapText="1"/>
    </xf>
    <xf numFmtId="0" fontId="36" fillId="10" borderId="56" xfId="34" applyFont="1" applyFill="1" applyBorder="1" applyAlignment="1">
      <alignment horizontal="center" vertical="center"/>
    </xf>
    <xf numFmtId="0" fontId="36" fillId="10" borderId="27" xfId="34" applyFont="1" applyFill="1" applyBorder="1" applyAlignment="1">
      <alignment horizontal="center" vertical="center"/>
    </xf>
    <xf numFmtId="0" fontId="36" fillId="10" borderId="57" xfId="34" applyFont="1" applyFill="1" applyBorder="1" applyAlignment="1">
      <alignment horizontal="center" vertical="center"/>
    </xf>
    <xf numFmtId="0" fontId="13" fillId="13" borderId="0" xfId="62" applyFont="1" applyFill="1" applyAlignment="1"/>
    <xf numFmtId="3" fontId="13" fillId="13" borderId="0" xfId="62" applyNumberFormat="1" applyFont="1" applyFill="1" applyAlignment="1"/>
    <xf numFmtId="9" fontId="13" fillId="13" borderId="0" xfId="63" applyFont="1" applyFill="1" applyAlignment="1">
      <alignment horizontal="right"/>
    </xf>
    <xf numFmtId="0" fontId="37" fillId="13" borderId="31" xfId="62" applyFont="1" applyFill="1" applyBorder="1" applyAlignment="1"/>
    <xf numFmtId="0" fontId="37" fillId="13" borderId="17" xfId="62" applyFont="1" applyFill="1" applyBorder="1" applyAlignment="1"/>
    <xf numFmtId="0" fontId="37" fillId="13" borderId="4" xfId="62" applyFont="1" applyFill="1" applyBorder="1" applyAlignment="1"/>
    <xf numFmtId="0" fontId="24" fillId="13" borderId="5" xfId="62" applyFont="1" applyFill="1" applyBorder="1" applyAlignment="1">
      <alignment horizontal="right"/>
    </xf>
    <xf numFmtId="0" fontId="38" fillId="13" borderId="0" xfId="62" applyFont="1" applyFill="1" applyAlignment="1"/>
    <xf numFmtId="0" fontId="39" fillId="13" borderId="0" xfId="62" applyFont="1" applyFill="1" applyAlignment="1"/>
    <xf numFmtId="14" fontId="13" fillId="13" borderId="0" xfId="62" applyNumberFormat="1" applyFont="1" applyFill="1" applyAlignment="1"/>
    <xf numFmtId="17" fontId="13" fillId="13" borderId="0" xfId="62" applyNumberFormat="1" applyFont="1" applyFill="1" applyAlignment="1"/>
    <xf numFmtId="0" fontId="31" fillId="7" borderId="0" xfId="62" applyFont="1" applyFill="1" applyAlignment="1"/>
    <xf numFmtId="3" fontId="31" fillId="7" borderId="0" xfId="62" applyNumberFormat="1" applyFont="1" applyFill="1" applyAlignment="1"/>
    <xf numFmtId="9" fontId="31" fillId="7" borderId="0" xfId="55" applyFont="1" applyFill="1" applyAlignment="1">
      <alignment horizontal="right"/>
    </xf>
    <xf numFmtId="0" fontId="41" fillId="7" borderId="0" xfId="62" applyFont="1" applyFill="1" applyAlignment="1"/>
    <xf numFmtId="11" fontId="13" fillId="4" borderId="0" xfId="47" applyNumberFormat="1" applyFont="1" applyFill="1" applyAlignment="1"/>
    <xf numFmtId="0" fontId="30" fillId="7" borderId="28" xfId="32" applyFont="1" applyFill="1" applyBorder="1" applyAlignment="1">
      <alignment horizontal="center"/>
    </xf>
    <xf numFmtId="1" fontId="30" fillId="7" borderId="28" xfId="22" applyNumberFormat="1" applyFont="1" applyFill="1" applyBorder="1" applyAlignment="1">
      <alignment horizontal="center"/>
    </xf>
    <xf numFmtId="1" fontId="30" fillId="7" borderId="28" xfId="44" applyNumberFormat="1" applyFont="1" applyFill="1" applyBorder="1" applyAlignment="1">
      <alignment horizontal="center"/>
    </xf>
    <xf numFmtId="0" fontId="29" fillId="4" borderId="5" xfId="22" applyFont="1" applyFill="1" applyBorder="1" applyAlignment="1">
      <alignment horizontal="left" vertical="top"/>
    </xf>
    <xf numFmtId="0" fontId="23" fillId="4" borderId="46" xfId="22" applyFont="1" applyFill="1" applyBorder="1" applyAlignment="1"/>
    <xf numFmtId="0" fontId="29" fillId="4" borderId="3" xfId="22" applyFont="1" applyFill="1" applyBorder="1" applyAlignment="1"/>
    <xf numFmtId="9" fontId="9" fillId="0" borderId="3" xfId="35" applyFont="1" applyBorder="1" applyAlignment="1">
      <alignment horizontal="right"/>
    </xf>
    <xf numFmtId="0" fontId="13" fillId="4" borderId="40" xfId="22" applyFont="1" applyFill="1" applyBorder="1" applyAlignment="1"/>
    <xf numFmtId="0" fontId="23" fillId="4" borderId="12" xfId="22" applyFont="1" applyFill="1" applyBorder="1" applyAlignment="1"/>
    <xf numFmtId="0" fontId="13" fillId="4" borderId="13" xfId="22" applyFont="1" applyFill="1" applyBorder="1" applyAlignment="1"/>
    <xf numFmtId="0" fontId="23" fillId="4" borderId="18" xfId="22" applyFont="1" applyFill="1" applyBorder="1" applyAlignment="1"/>
    <xf numFmtId="0" fontId="29" fillId="4" borderId="7" xfId="22" applyFont="1" applyFill="1" applyBorder="1" applyAlignment="1"/>
    <xf numFmtId="9" fontId="9" fillId="0" borderId="7" xfId="35" applyFont="1" applyBorder="1" applyAlignment="1">
      <alignment horizontal="right"/>
    </xf>
    <xf numFmtId="0" fontId="13" fillId="4" borderId="19" xfId="22" applyFont="1" applyFill="1" applyBorder="1" applyAlignment="1"/>
    <xf numFmtId="9" fontId="18" fillId="0" borderId="0" xfId="10" applyNumberFormat="1" applyFill="1"/>
    <xf numFmtId="9" fontId="0" fillId="0" borderId="0" xfId="0" applyNumberFormat="1" applyFill="1"/>
    <xf numFmtId="11" fontId="0" fillId="0" borderId="0" xfId="0" applyNumberFormat="1" applyFill="1"/>
    <xf numFmtId="11" fontId="18" fillId="0" borderId="0" xfId="10" applyNumberFormat="1" applyFill="1"/>
    <xf numFmtId="169" fontId="13" fillId="9" borderId="0" xfId="47" applyNumberFormat="1" applyFont="1" applyFill="1" applyAlignment="1"/>
    <xf numFmtId="11" fontId="13" fillId="9" borderId="0" xfId="47" applyNumberFormat="1" applyFont="1" applyFill="1" applyAlignment="1"/>
    <xf numFmtId="11" fontId="13" fillId="4" borderId="0" xfId="22" applyNumberFormat="1" applyFont="1" applyFill="1" applyAlignment="1"/>
    <xf numFmtId="0" fontId="0" fillId="9" borderId="0" xfId="0" applyFill="1"/>
    <xf numFmtId="170" fontId="0" fillId="9" borderId="0" xfId="0" applyNumberFormat="1" applyFill="1"/>
    <xf numFmtId="2" fontId="0" fillId="9" borderId="0" xfId="0" applyNumberFormat="1" applyFill="1"/>
    <xf numFmtId="0" fontId="0" fillId="0" borderId="0" xfId="0"/>
    <xf numFmtId="3" fontId="30" fillId="7" borderId="45" xfId="22" applyNumberFormat="1" applyFont="1" applyFill="1" applyBorder="1" applyAlignment="1">
      <alignment horizontal="center"/>
    </xf>
    <xf numFmtId="3" fontId="30" fillId="7" borderId="17" xfId="22" applyNumberFormat="1" applyFont="1" applyFill="1" applyBorder="1" applyAlignment="1">
      <alignment horizontal="center"/>
    </xf>
    <xf numFmtId="0" fontId="30" fillId="7" borderId="42" xfId="22" applyFont="1" applyFill="1" applyBorder="1" applyAlignment="1">
      <alignment horizontal="center"/>
    </xf>
    <xf numFmtId="0" fontId="30" fillId="7" borderId="28" xfId="22" applyFont="1" applyFill="1" applyBorder="1" applyAlignment="1">
      <alignment horizontal="center"/>
    </xf>
    <xf numFmtId="0" fontId="30" fillId="7" borderId="43" xfId="22" applyFont="1" applyFill="1" applyBorder="1" applyAlignment="1">
      <alignment horizontal="center"/>
    </xf>
    <xf numFmtId="0" fontId="30" fillId="7" borderId="44" xfId="22" applyFont="1" applyFill="1" applyBorder="1" applyAlignment="1">
      <alignment horizontal="center"/>
    </xf>
    <xf numFmtId="3" fontId="30" fillId="7" borderId="5" xfId="22" applyNumberFormat="1" applyFont="1" applyFill="1" applyBorder="1" applyAlignment="1">
      <alignment horizontal="center"/>
    </xf>
    <xf numFmtId="3" fontId="30" fillId="7" borderId="4" xfId="22" applyNumberFormat="1" applyFont="1" applyFill="1" applyBorder="1" applyAlignment="1">
      <alignment horizontal="center"/>
    </xf>
    <xf numFmtId="9" fontId="40" fillId="7" borderId="0" xfId="63" applyFont="1" applyFill="1" applyBorder="1" applyAlignment="1">
      <alignment horizontal="center" vertical="center"/>
    </xf>
    <xf numFmtId="0" fontId="22" fillId="5" borderId="46" xfId="13" applyFill="1" applyBorder="1" applyAlignment="1">
      <alignment horizontal="center"/>
    </xf>
    <xf numFmtId="0" fontId="22" fillId="5" borderId="40" xfId="13" applyFill="1" applyBorder="1" applyAlignment="1">
      <alignment horizontal="center"/>
    </xf>
    <xf numFmtId="0" fontId="22" fillId="5" borderId="3" xfId="13" applyFill="1" applyBorder="1" applyAlignment="1">
      <alignment horizontal="center"/>
    </xf>
    <xf numFmtId="2" fontId="6" fillId="3" borderId="47" xfId="33" applyNumberFormat="1" applyFont="1" applyFill="1" applyBorder="1" applyAlignment="1">
      <alignment horizontal="center" vertical="center"/>
    </xf>
    <xf numFmtId="2" fontId="6" fillId="3" borderId="10" xfId="33" applyNumberFormat="1" applyFont="1" applyFill="1" applyBorder="1" applyAlignment="1">
      <alignment horizontal="center" vertical="center"/>
    </xf>
    <xf numFmtId="167" fontId="15" fillId="0" borderId="0" xfId="33" applyNumberFormat="1" applyFont="1" applyFill="1" applyAlignment="1">
      <alignment horizontal="center" vertical="center"/>
    </xf>
    <xf numFmtId="0" fontId="17" fillId="0" borderId="0" xfId="0" applyFont="1" applyFill="1" applyBorder="1" applyAlignment="1">
      <alignment horizontal="center"/>
    </xf>
    <xf numFmtId="0" fontId="6" fillId="3" borderId="39" xfId="33" applyFont="1" applyFill="1" applyBorder="1" applyAlignment="1">
      <alignment horizontal="center"/>
    </xf>
    <xf numFmtId="0" fontId="6" fillId="3" borderId="48" xfId="33" applyFont="1" applyFill="1" applyBorder="1" applyAlignment="1">
      <alignment horizontal="center"/>
    </xf>
    <xf numFmtId="0" fontId="6" fillId="3" borderId="49" xfId="33" applyFont="1" applyFill="1" applyBorder="1" applyAlignment="1">
      <alignment horizontal="center"/>
    </xf>
    <xf numFmtId="0" fontId="6" fillId="3" borderId="34" xfId="33" applyFont="1" applyFill="1" applyBorder="1" applyAlignment="1">
      <alignment horizontal="center"/>
    </xf>
    <xf numFmtId="0" fontId="6" fillId="3" borderId="1" xfId="33" applyFont="1" applyFill="1" applyBorder="1" applyAlignment="1">
      <alignment horizontal="center"/>
    </xf>
    <xf numFmtId="166" fontId="18" fillId="0" borderId="0" xfId="10" applyNumberFormat="1" applyFill="1" applyAlignment="1">
      <alignment horizontal="center"/>
    </xf>
    <xf numFmtId="0" fontId="17" fillId="0" borderId="0" xfId="10" applyFont="1" applyFill="1" applyBorder="1" applyAlignment="1">
      <alignment horizontal="center"/>
    </xf>
    <xf numFmtId="0" fontId="19" fillId="3" borderId="46" xfId="10" applyFont="1" applyFill="1" applyBorder="1" applyAlignment="1">
      <alignment horizontal="center"/>
    </xf>
    <xf numFmtId="0" fontId="19" fillId="3" borderId="3" xfId="10" applyFont="1" applyFill="1" applyBorder="1" applyAlignment="1">
      <alignment horizontal="center"/>
    </xf>
    <xf numFmtId="0" fontId="19" fillId="3" borderId="40" xfId="10" applyFont="1" applyFill="1" applyBorder="1" applyAlignment="1">
      <alignment horizontal="center"/>
    </xf>
    <xf numFmtId="0" fontId="6" fillId="3" borderId="46" xfId="10" applyFont="1" applyFill="1" applyBorder="1" applyAlignment="1">
      <alignment horizontal="center"/>
    </xf>
    <xf numFmtId="0" fontId="6" fillId="3" borderId="40" xfId="10" applyFont="1" applyFill="1" applyBorder="1" applyAlignment="1">
      <alignment horizontal="center"/>
    </xf>
    <xf numFmtId="0" fontId="6" fillId="3" borderId="32" xfId="10" applyFont="1" applyFill="1" applyBorder="1" applyAlignment="1">
      <alignment horizontal="center"/>
    </xf>
    <xf numFmtId="0" fontId="6" fillId="3" borderId="3" xfId="10" applyFont="1" applyFill="1" applyBorder="1" applyAlignment="1">
      <alignment horizontal="center"/>
    </xf>
    <xf numFmtId="0" fontId="6" fillId="3" borderId="2" xfId="10" applyFont="1" applyFill="1" applyBorder="1" applyAlignment="1">
      <alignment horizontal="center"/>
    </xf>
    <xf numFmtId="0" fontId="6" fillId="3" borderId="39" xfId="10" applyFont="1" applyFill="1" applyBorder="1" applyAlignment="1">
      <alignment horizontal="center"/>
    </xf>
    <xf numFmtId="0" fontId="6" fillId="3" borderId="49" xfId="10" applyFont="1" applyFill="1" applyBorder="1" applyAlignment="1">
      <alignment horizontal="center"/>
    </xf>
    <xf numFmtId="0" fontId="6" fillId="3" borderId="48" xfId="10" applyFont="1" applyFill="1" applyBorder="1" applyAlignment="1">
      <alignment horizontal="center"/>
    </xf>
    <xf numFmtId="0" fontId="6" fillId="3" borderId="9" xfId="10" applyFont="1" applyFill="1" applyBorder="1" applyAlignment="1">
      <alignment horizontal="center" vertical="center"/>
    </xf>
    <xf numFmtId="0" fontId="6" fillId="3" borderId="8" xfId="10" applyFont="1" applyFill="1" applyBorder="1" applyAlignment="1">
      <alignment horizontal="center" vertical="center"/>
    </xf>
    <xf numFmtId="0" fontId="0" fillId="0" borderId="0" xfId="0"/>
    <xf numFmtId="0" fontId="33" fillId="7" borderId="5" xfId="0" applyFont="1" applyFill="1" applyBorder="1"/>
    <xf numFmtId="14" fontId="33" fillId="7" borderId="0" xfId="0" applyNumberFormat="1" applyFont="1" applyFill="1" applyAlignment="1">
      <alignment horizontal="center"/>
    </xf>
    <xf numFmtId="0" fontId="33" fillId="7" borderId="0" xfId="0" applyFont="1" applyFill="1"/>
    <xf numFmtId="14" fontId="33" fillId="7" borderId="0" xfId="0" applyNumberFormat="1" applyFont="1" applyFill="1"/>
  </cellXfs>
  <cellStyles count="101">
    <cellStyle name="Euro" xfId="1" xr:uid="{00000000-0005-0000-0000-000000000000}"/>
    <cellStyle name="Euro 2" xfId="45" xr:uid="{00000000-0005-0000-0000-000001000000}"/>
    <cellStyle name="Euro 2 2" xfId="64" xr:uid="{00000000-0005-0000-0000-000002000000}"/>
    <cellStyle name="Euro 3" xfId="65" xr:uid="{00000000-0005-0000-0000-000003000000}"/>
    <cellStyle name="Milliers 2" xfId="2" xr:uid="{00000000-0005-0000-0000-000004000000}"/>
    <cellStyle name="Milliers 2 2" xfId="3" xr:uid="{00000000-0005-0000-0000-000005000000}"/>
    <cellStyle name="Milliers 2 2 2" xfId="66" xr:uid="{00000000-0005-0000-0000-000006000000}"/>
    <cellStyle name="Milliers 2 3" xfId="4" xr:uid="{00000000-0005-0000-0000-000007000000}"/>
    <cellStyle name="Milliers 2 3 2" xfId="67" xr:uid="{00000000-0005-0000-0000-000008000000}"/>
    <cellStyle name="Milliers 2 4" xfId="5" xr:uid="{00000000-0005-0000-0000-000009000000}"/>
    <cellStyle name="Milliers 2 4 2" xfId="68" xr:uid="{00000000-0005-0000-0000-00000A000000}"/>
    <cellStyle name="Milliers 2 5" xfId="6" xr:uid="{00000000-0005-0000-0000-00000B000000}"/>
    <cellStyle name="Milliers 2 5 2" xfId="69" xr:uid="{00000000-0005-0000-0000-00000C000000}"/>
    <cellStyle name="Milliers 2 6" xfId="7" xr:uid="{00000000-0005-0000-0000-00000D000000}"/>
    <cellStyle name="Milliers 2 6 2" xfId="70" xr:uid="{00000000-0005-0000-0000-00000E000000}"/>
    <cellStyle name="Milliers 2 7" xfId="8" xr:uid="{00000000-0005-0000-0000-00000F000000}"/>
    <cellStyle name="Milliers 2 7 2" xfId="71" xr:uid="{00000000-0005-0000-0000-000010000000}"/>
    <cellStyle name="Milliers 2 8" xfId="9" xr:uid="{00000000-0005-0000-0000-000011000000}"/>
    <cellStyle name="Milliers 2 8 2" xfId="72" xr:uid="{00000000-0005-0000-0000-000012000000}"/>
    <cellStyle name="Milliers 2 9" xfId="73" xr:uid="{00000000-0005-0000-0000-000013000000}"/>
    <cellStyle name="Milliers 3" xfId="60" xr:uid="{00000000-0005-0000-0000-000014000000}"/>
    <cellStyle name="Milliers 3 2" xfId="74" xr:uid="{00000000-0005-0000-0000-000015000000}"/>
    <cellStyle name="Milliers 4" xfId="75" xr:uid="{00000000-0005-0000-0000-000016000000}"/>
    <cellStyle name="Normal" xfId="0" builtinId="0"/>
    <cellStyle name="Normal 2" xfId="10" xr:uid="{00000000-0005-0000-0000-000018000000}"/>
    <cellStyle name="Normal 2 10" xfId="11" xr:uid="{00000000-0005-0000-0000-000019000000}"/>
    <cellStyle name="Normal 2 11" xfId="12" xr:uid="{00000000-0005-0000-0000-00001A000000}"/>
    <cellStyle name="Normal 2 12" xfId="13" xr:uid="{00000000-0005-0000-0000-00001B000000}"/>
    <cellStyle name="Normal 2 12 2" xfId="76" xr:uid="{00000000-0005-0000-0000-00001C000000}"/>
    <cellStyle name="Normal 2 13" xfId="61" xr:uid="{00000000-0005-0000-0000-00001D000000}"/>
    <cellStyle name="Normal 2 2" xfId="14" xr:uid="{00000000-0005-0000-0000-00001E000000}"/>
    <cellStyle name="Normal 2 3" xfId="15" xr:uid="{00000000-0005-0000-0000-00001F000000}"/>
    <cellStyle name="Normal 2 4" xfId="16" xr:uid="{00000000-0005-0000-0000-000020000000}"/>
    <cellStyle name="Normal 2 5" xfId="17" xr:uid="{00000000-0005-0000-0000-000021000000}"/>
    <cellStyle name="Normal 2 6" xfId="18" xr:uid="{00000000-0005-0000-0000-000022000000}"/>
    <cellStyle name="Normal 2 7" xfId="19" xr:uid="{00000000-0005-0000-0000-000023000000}"/>
    <cellStyle name="Normal 2 8" xfId="20" xr:uid="{00000000-0005-0000-0000-000024000000}"/>
    <cellStyle name="Normal 2 9" xfId="21" xr:uid="{00000000-0005-0000-0000-000025000000}"/>
    <cellStyle name="Normal 3" xfId="22" xr:uid="{00000000-0005-0000-0000-000026000000}"/>
    <cellStyle name="Normal 3 10" xfId="23" xr:uid="{00000000-0005-0000-0000-000027000000}"/>
    <cellStyle name="Normal 3 10 2" xfId="77" xr:uid="{00000000-0005-0000-0000-000028000000}"/>
    <cellStyle name="Normal 3 11" xfId="46" xr:uid="{00000000-0005-0000-0000-000029000000}"/>
    <cellStyle name="Normal 3 11 2" xfId="78" xr:uid="{00000000-0005-0000-0000-00002A000000}"/>
    <cellStyle name="Normal 3 12" xfId="79" xr:uid="{00000000-0005-0000-0000-00002B000000}"/>
    <cellStyle name="Normal 3 2" xfId="24" xr:uid="{00000000-0005-0000-0000-00002C000000}"/>
    <cellStyle name="Normal 3 2 2" xfId="80" xr:uid="{00000000-0005-0000-0000-00002D000000}"/>
    <cellStyle name="Normal 3 3" xfId="25" xr:uid="{00000000-0005-0000-0000-00002E000000}"/>
    <cellStyle name="Normal 3 3 2" xfId="81" xr:uid="{00000000-0005-0000-0000-00002F000000}"/>
    <cellStyle name="Normal 3 4" xfId="26" xr:uid="{00000000-0005-0000-0000-000030000000}"/>
    <cellStyle name="Normal 3 4 2" xfId="82" xr:uid="{00000000-0005-0000-0000-000031000000}"/>
    <cellStyle name="Normal 3 5" xfId="27" xr:uid="{00000000-0005-0000-0000-000032000000}"/>
    <cellStyle name="Normal 3 5 2" xfId="83" xr:uid="{00000000-0005-0000-0000-000033000000}"/>
    <cellStyle name="Normal 3 6" xfId="28" xr:uid="{00000000-0005-0000-0000-000034000000}"/>
    <cellStyle name="Normal 3 6 2" xfId="84" xr:uid="{00000000-0005-0000-0000-000035000000}"/>
    <cellStyle name="Normal 3 7" xfId="29" xr:uid="{00000000-0005-0000-0000-000036000000}"/>
    <cellStyle name="Normal 3 7 2" xfId="85" xr:uid="{00000000-0005-0000-0000-000037000000}"/>
    <cellStyle name="Normal 3 8" xfId="30" xr:uid="{00000000-0005-0000-0000-000038000000}"/>
    <cellStyle name="Normal 3 8 2" xfId="86" xr:uid="{00000000-0005-0000-0000-000039000000}"/>
    <cellStyle name="Normal 3 9" xfId="31" xr:uid="{00000000-0005-0000-0000-00003A000000}"/>
    <cellStyle name="Normal 3 9 2" xfId="87" xr:uid="{00000000-0005-0000-0000-00003B000000}"/>
    <cellStyle name="Normal 4" xfId="32" xr:uid="{00000000-0005-0000-0000-00003C000000}"/>
    <cellStyle name="Normal 4 2" xfId="44" xr:uid="{00000000-0005-0000-0000-00003D000000}"/>
    <cellStyle name="Normal 4 2 2" xfId="47" xr:uid="{00000000-0005-0000-0000-00003E000000}"/>
    <cellStyle name="Normal 4 3" xfId="48" xr:uid="{00000000-0005-0000-0000-00003F000000}"/>
    <cellStyle name="Normal 4 3 2" xfId="62" xr:uid="{00000000-0005-0000-0000-000040000000}"/>
    <cellStyle name="Normal 4 4" xfId="49" xr:uid="{00000000-0005-0000-0000-000041000000}"/>
    <cellStyle name="Normal 5" xfId="50" xr:uid="{00000000-0005-0000-0000-000042000000}"/>
    <cellStyle name="Normal 5 2" xfId="51" xr:uid="{00000000-0005-0000-0000-000043000000}"/>
    <cellStyle name="Normal 5 2 2" xfId="88" xr:uid="{00000000-0005-0000-0000-000044000000}"/>
    <cellStyle name="Normal 5 3" xfId="89" xr:uid="{00000000-0005-0000-0000-000045000000}"/>
    <cellStyle name="Normal 6" xfId="52" xr:uid="{00000000-0005-0000-0000-000046000000}"/>
    <cellStyle name="Normal 7" xfId="90" xr:uid="{00000000-0005-0000-0000-000047000000}"/>
    <cellStyle name="Normal 7 2" xfId="91" xr:uid="{00000000-0005-0000-0000-000048000000}"/>
    <cellStyle name="Normal_Feuil1" xfId="33" xr:uid="{00000000-0005-0000-0000-000049000000}"/>
    <cellStyle name="Normal_Feuil1 2" xfId="34" xr:uid="{00000000-0005-0000-0000-00004A000000}"/>
    <cellStyle name="Pourcentage 2" xfId="35" xr:uid="{00000000-0005-0000-0000-00004B000000}"/>
    <cellStyle name="Pourcentage 2 2" xfId="36" xr:uid="{00000000-0005-0000-0000-00004C000000}"/>
    <cellStyle name="Pourcentage 2 2 2" xfId="92" xr:uid="{00000000-0005-0000-0000-00004D000000}"/>
    <cellStyle name="Pourcentage 2 3" xfId="37" xr:uid="{00000000-0005-0000-0000-00004E000000}"/>
    <cellStyle name="Pourcentage 2 3 2" xfId="93" xr:uid="{00000000-0005-0000-0000-00004F000000}"/>
    <cellStyle name="Pourcentage 2 4" xfId="38" xr:uid="{00000000-0005-0000-0000-000050000000}"/>
    <cellStyle name="Pourcentage 2 4 2" xfId="94" xr:uid="{00000000-0005-0000-0000-000051000000}"/>
    <cellStyle name="Pourcentage 2 5" xfId="39" xr:uid="{00000000-0005-0000-0000-000052000000}"/>
    <cellStyle name="Pourcentage 2 5 2" xfId="95" xr:uid="{00000000-0005-0000-0000-000053000000}"/>
    <cellStyle name="Pourcentage 2 6" xfId="40" xr:uid="{00000000-0005-0000-0000-000054000000}"/>
    <cellStyle name="Pourcentage 2 6 2" xfId="96" xr:uid="{00000000-0005-0000-0000-000055000000}"/>
    <cellStyle name="Pourcentage 2 7" xfId="41" xr:uid="{00000000-0005-0000-0000-000056000000}"/>
    <cellStyle name="Pourcentage 2 7 2" xfId="97" xr:uid="{00000000-0005-0000-0000-000057000000}"/>
    <cellStyle name="Pourcentage 2 8" xfId="42" xr:uid="{00000000-0005-0000-0000-000058000000}"/>
    <cellStyle name="Pourcentage 2 8 2" xfId="98" xr:uid="{00000000-0005-0000-0000-000059000000}"/>
    <cellStyle name="Pourcentage 2 9" xfId="53" xr:uid="{00000000-0005-0000-0000-00005A000000}"/>
    <cellStyle name="Pourcentage 3" xfId="43" xr:uid="{00000000-0005-0000-0000-00005B000000}"/>
    <cellStyle name="Pourcentage 3 2" xfId="54" xr:uid="{00000000-0005-0000-0000-00005C000000}"/>
    <cellStyle name="Pourcentage 3 2 2" xfId="55" xr:uid="{00000000-0005-0000-0000-00005D000000}"/>
    <cellStyle name="Pourcentage 3 3" xfId="56" xr:uid="{00000000-0005-0000-0000-00005E000000}"/>
    <cellStyle name="Pourcentage 4" xfId="57" xr:uid="{00000000-0005-0000-0000-00005F000000}"/>
    <cellStyle name="Pourcentage 4 2" xfId="58" xr:uid="{00000000-0005-0000-0000-000060000000}"/>
    <cellStyle name="Pourcentage 4 2 2" xfId="63" xr:uid="{00000000-0005-0000-0000-000061000000}"/>
    <cellStyle name="Pourcentage 4 3" xfId="59" xr:uid="{00000000-0005-0000-0000-000062000000}"/>
    <cellStyle name="Pourcentage 5" xfId="99" xr:uid="{00000000-0005-0000-0000-000063000000}"/>
    <cellStyle name="Pourcentage 5 2" xfId="100" xr:uid="{00000000-0005-0000-0000-000064000000}"/>
  </cellStyles>
  <dxfs count="7"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381000</xdr:colOff>
      <xdr:row>1</xdr:row>
      <xdr:rowOff>285750</xdr:rowOff>
    </xdr:to>
    <xdr:pic>
      <xdr:nvPicPr>
        <xdr:cNvPr id="2" name="Image 1" descr="image00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123825</xdr:colOff>
      <xdr:row>1</xdr:row>
      <xdr:rowOff>257175</xdr:rowOff>
    </xdr:to>
    <xdr:pic>
      <xdr:nvPicPr>
        <xdr:cNvPr id="2" name="Image 1" descr="image00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58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263"/>
  <sheetViews>
    <sheetView zoomScale="75" zoomScaleNormal="75" workbookViewId="0">
      <pane ySplit="9" topLeftCell="A10" activePane="bottomLeft" state="frozenSplit"/>
      <selection activeCell="E230" sqref="E230"/>
      <selection pane="bottomLeft" activeCell="A10" sqref="A10:R263"/>
    </sheetView>
  </sheetViews>
  <sheetFormatPr baseColWidth="10" defaultRowHeight="12"/>
  <cols>
    <col min="1" max="1" width="11.42578125" style="77"/>
    <col min="2" max="3" width="34" style="77" customWidth="1"/>
    <col min="4" max="4" width="13.140625" style="77" bestFit="1" customWidth="1"/>
    <col min="5" max="5" width="13.140625" style="77" customWidth="1"/>
    <col min="6" max="6" width="11.7109375" style="77" customWidth="1"/>
    <col min="7" max="7" width="13" style="77" customWidth="1"/>
    <col min="8" max="8" width="8" style="79" customWidth="1"/>
    <col min="9" max="9" width="11.5703125" style="77" customWidth="1"/>
    <col min="10" max="10" width="7.42578125" style="79" customWidth="1"/>
    <col min="11" max="11" width="13.140625" style="77" customWidth="1"/>
    <col min="12" max="12" width="11.5703125" style="77" customWidth="1"/>
    <col min="13" max="13" width="7.7109375" style="79" customWidth="1"/>
    <col min="14" max="14" width="12.140625" style="77" customWidth="1"/>
    <col min="15" max="15" width="8.42578125" style="79" customWidth="1"/>
    <col min="16" max="16" width="12.5703125" style="78" customWidth="1"/>
    <col min="17" max="17" width="11.42578125" style="77"/>
    <col min="18" max="18" width="13" style="77" customWidth="1"/>
    <col min="19" max="16384" width="11.42578125" style="77"/>
  </cols>
  <sheetData>
    <row r="1" spans="1:213">
      <c r="A1" s="92" t="s">
        <v>75</v>
      </c>
    </row>
    <row r="2" spans="1:213">
      <c r="A2" s="92" t="s">
        <v>4</v>
      </c>
    </row>
    <row r="4" spans="1:213" ht="13.5" customHeight="1">
      <c r="A4" s="119"/>
      <c r="B4" s="119"/>
      <c r="C4" s="119"/>
      <c r="D4" s="119"/>
      <c r="E4" s="119"/>
      <c r="F4" s="119"/>
      <c r="G4" s="120" t="s">
        <v>74</v>
      </c>
      <c r="H4" s="120"/>
      <c r="I4" s="119"/>
      <c r="J4" s="121"/>
      <c r="K4" s="122" t="s">
        <v>214</v>
      </c>
      <c r="L4" s="123"/>
      <c r="M4" s="121"/>
      <c r="N4" s="119"/>
      <c r="O4" s="121"/>
      <c r="P4" s="124"/>
      <c r="Q4" s="125"/>
      <c r="R4" s="125"/>
    </row>
    <row r="5" spans="1:213">
      <c r="H5" s="79" t="s">
        <v>221</v>
      </c>
      <c r="I5" s="87"/>
      <c r="J5" s="91"/>
    </row>
    <row r="6" spans="1:213" ht="12.75">
      <c r="B6" s="90" t="s">
        <v>73</v>
      </c>
      <c r="C6" s="136" t="s">
        <v>222</v>
      </c>
      <c r="D6" s="137"/>
      <c r="E6" s="138"/>
      <c r="F6" s="138"/>
      <c r="G6" s="138"/>
      <c r="HE6" s="77" t="s">
        <v>72</v>
      </c>
    </row>
    <row r="7" spans="1:213">
      <c r="H7" s="88"/>
      <c r="I7" s="89"/>
      <c r="J7" s="88"/>
      <c r="K7" s="89"/>
      <c r="L7" s="89"/>
      <c r="M7" s="88"/>
      <c r="N7" s="89"/>
      <c r="O7" s="88"/>
    </row>
    <row r="8" spans="1:213">
      <c r="A8" s="216" t="s">
        <v>71</v>
      </c>
      <c r="B8" s="216" t="s">
        <v>70</v>
      </c>
      <c r="C8" s="134"/>
      <c r="D8" s="218" t="s">
        <v>119</v>
      </c>
      <c r="E8" s="111" t="s">
        <v>213</v>
      </c>
      <c r="F8" s="220" t="str">
        <f>E8</f>
        <v xml:space="preserve">  JUIN </v>
      </c>
      <c r="G8" s="220"/>
      <c r="H8" s="220"/>
      <c r="I8" s="220"/>
      <c r="J8" s="221"/>
      <c r="K8" s="214" t="s">
        <v>69</v>
      </c>
      <c r="L8" s="215"/>
      <c r="M8" s="215"/>
      <c r="N8" s="215"/>
      <c r="O8" s="215"/>
      <c r="P8" s="112" t="s">
        <v>68</v>
      </c>
      <c r="Q8" s="113" t="s">
        <v>67</v>
      </c>
      <c r="R8" s="130" t="s">
        <v>105</v>
      </c>
    </row>
    <row r="9" spans="1:213" s="87" customFormat="1" ht="12.75" thickBot="1">
      <c r="A9" s="217"/>
      <c r="B9" s="217"/>
      <c r="C9" s="135" t="s">
        <v>118</v>
      </c>
      <c r="D9" s="219"/>
      <c r="E9" s="189" t="s">
        <v>93</v>
      </c>
      <c r="F9" s="114" t="s">
        <v>66</v>
      </c>
      <c r="G9" s="114" t="s">
        <v>65</v>
      </c>
      <c r="H9" s="115" t="s">
        <v>15</v>
      </c>
      <c r="I9" s="116">
        <v>2025</v>
      </c>
      <c r="J9" s="117" t="s">
        <v>15</v>
      </c>
      <c r="K9" s="118" t="s">
        <v>66</v>
      </c>
      <c r="L9" s="114" t="s">
        <v>65</v>
      </c>
      <c r="M9" s="115" t="s">
        <v>15</v>
      </c>
      <c r="N9" s="116">
        <v>2025</v>
      </c>
      <c r="O9" s="117" t="s">
        <v>15</v>
      </c>
      <c r="P9" s="190" t="s">
        <v>64</v>
      </c>
      <c r="Q9" s="190" t="s">
        <v>63</v>
      </c>
      <c r="R9" s="191" t="s">
        <v>106</v>
      </c>
    </row>
    <row r="10" spans="1:213" ht="14.25" customHeight="1">
      <c r="A10" s="193" t="s">
        <v>50</v>
      </c>
      <c r="B10" s="194" t="s">
        <v>51</v>
      </c>
      <c r="C10" s="194" t="s">
        <v>56</v>
      </c>
      <c r="D10" s="86" t="s">
        <v>49</v>
      </c>
      <c r="E10" s="126">
        <v>0</v>
      </c>
      <c r="F10" s="85">
        <v>0</v>
      </c>
      <c r="G10" s="85">
        <v>0</v>
      </c>
      <c r="H10" s="195" t="s">
        <v>15</v>
      </c>
      <c r="I10" s="85">
        <v>449727.00878906302</v>
      </c>
      <c r="J10" s="195">
        <v>-1</v>
      </c>
      <c r="K10" s="85">
        <v>622331.85881042504</v>
      </c>
      <c r="L10" s="85">
        <v>510000</v>
      </c>
      <c r="M10" s="195">
        <v>0.22</v>
      </c>
      <c r="N10" s="85">
        <v>998554.55953979504</v>
      </c>
      <c r="O10" s="195">
        <v>-0.38</v>
      </c>
      <c r="P10" s="85">
        <v>0</v>
      </c>
      <c r="Q10" s="85">
        <v>0</v>
      </c>
      <c r="R10" s="196">
        <v>0</v>
      </c>
    </row>
    <row r="11" spans="1:213" ht="14.25" customHeight="1">
      <c r="A11" s="197" t="s">
        <v>50</v>
      </c>
      <c r="B11" s="192" t="s">
        <v>51</v>
      </c>
      <c r="C11" s="192" t="s">
        <v>56</v>
      </c>
      <c r="D11" s="84" t="s">
        <v>191</v>
      </c>
      <c r="E11" s="127">
        <v>0</v>
      </c>
      <c r="F11" s="83">
        <v>0</v>
      </c>
      <c r="G11" s="83">
        <v>0</v>
      </c>
      <c r="H11" s="82" t="s">
        <v>15</v>
      </c>
      <c r="I11" s="83">
        <v>78831.671875</v>
      </c>
      <c r="J11" s="82">
        <v>-1</v>
      </c>
      <c r="K11" s="83">
        <v>66585.5598297119</v>
      </c>
      <c r="L11" s="83">
        <v>140000</v>
      </c>
      <c r="M11" s="82">
        <v>-0.52</v>
      </c>
      <c r="N11" s="83">
        <v>144674.941314697</v>
      </c>
      <c r="O11" s="82">
        <v>-0.54</v>
      </c>
      <c r="P11" s="83">
        <v>0</v>
      </c>
      <c r="Q11" s="83">
        <v>0</v>
      </c>
      <c r="R11" s="198">
        <v>0</v>
      </c>
    </row>
    <row r="12" spans="1:213" ht="14.25" customHeight="1">
      <c r="A12" s="197" t="s">
        <v>50</v>
      </c>
      <c r="B12" s="192" t="s">
        <v>51</v>
      </c>
      <c r="C12" s="192" t="s">
        <v>56</v>
      </c>
      <c r="D12" s="84" t="s">
        <v>47</v>
      </c>
      <c r="E12" s="127">
        <v>0</v>
      </c>
      <c r="F12" s="83">
        <v>0</v>
      </c>
      <c r="G12" s="83">
        <v>0</v>
      </c>
      <c r="H12" s="82" t="s">
        <v>15</v>
      </c>
      <c r="I12" s="83">
        <v>34276.160568237297</v>
      </c>
      <c r="J12" s="82">
        <v>-1</v>
      </c>
      <c r="K12" s="83">
        <v>214354.292419434</v>
      </c>
      <c r="L12" s="83">
        <v>395000</v>
      </c>
      <c r="M12" s="82">
        <v>-0.46</v>
      </c>
      <c r="N12" s="83">
        <v>536861.54954528797</v>
      </c>
      <c r="O12" s="82">
        <v>-0.6</v>
      </c>
      <c r="P12" s="83">
        <v>0</v>
      </c>
      <c r="Q12" s="83">
        <v>0</v>
      </c>
      <c r="R12" s="198">
        <v>0</v>
      </c>
    </row>
    <row r="13" spans="1:213" ht="14.25" customHeight="1">
      <c r="A13" s="197" t="s">
        <v>50</v>
      </c>
      <c r="B13" s="192" t="s">
        <v>51</v>
      </c>
      <c r="C13" s="192" t="s">
        <v>56</v>
      </c>
      <c r="D13" s="84" t="s">
        <v>62</v>
      </c>
      <c r="E13" s="127">
        <v>0</v>
      </c>
      <c r="F13" s="83">
        <v>0</v>
      </c>
      <c r="G13" s="83">
        <v>197916.66666666701</v>
      </c>
      <c r="H13" s="82">
        <v>-1</v>
      </c>
      <c r="I13" s="83">
        <v>623607.30220031703</v>
      </c>
      <c r="J13" s="82">
        <v>-1</v>
      </c>
      <c r="K13" s="83">
        <v>5708916.1821021996</v>
      </c>
      <c r="L13" s="83">
        <v>7797916.6666666698</v>
      </c>
      <c r="M13" s="82">
        <v>-0.27</v>
      </c>
      <c r="N13" s="83">
        <v>7395509.7705974597</v>
      </c>
      <c r="O13" s="82">
        <v>-0.23</v>
      </c>
      <c r="P13" s="83">
        <v>50000</v>
      </c>
      <c r="Q13" s="83">
        <v>12582</v>
      </c>
      <c r="R13" s="198">
        <v>0</v>
      </c>
    </row>
    <row r="14" spans="1:213" ht="14.25" customHeight="1">
      <c r="A14" s="197" t="s">
        <v>50</v>
      </c>
      <c r="B14" s="192" t="s">
        <v>51</v>
      </c>
      <c r="C14" s="192" t="s">
        <v>56</v>
      </c>
      <c r="D14" s="84" t="s">
        <v>6</v>
      </c>
      <c r="E14" s="127">
        <v>0</v>
      </c>
      <c r="F14" s="83">
        <v>0</v>
      </c>
      <c r="G14" s="83">
        <v>5208.3333333333303</v>
      </c>
      <c r="H14" s="82">
        <v>-1</v>
      </c>
      <c r="I14" s="83">
        <v>17524.480010986299</v>
      </c>
      <c r="J14" s="82">
        <v>-1</v>
      </c>
      <c r="K14" s="83">
        <v>224703.74011230501</v>
      </c>
      <c r="L14" s="83">
        <v>1435208.33333333</v>
      </c>
      <c r="M14" s="82">
        <v>-0.84</v>
      </c>
      <c r="N14" s="83">
        <v>705670.339401245</v>
      </c>
      <c r="O14" s="82">
        <v>-0.68</v>
      </c>
      <c r="P14" s="83">
        <v>1315.78947368421</v>
      </c>
      <c r="Q14" s="83">
        <v>0</v>
      </c>
      <c r="R14" s="198">
        <v>0</v>
      </c>
    </row>
    <row r="15" spans="1:213" ht="14.25" customHeight="1">
      <c r="A15" s="197" t="s">
        <v>50</v>
      </c>
      <c r="B15" s="192" t="s">
        <v>51</v>
      </c>
      <c r="C15" s="192" t="s">
        <v>56</v>
      </c>
      <c r="D15" s="84" t="s">
        <v>61</v>
      </c>
      <c r="E15" s="127">
        <v>0</v>
      </c>
      <c r="F15" s="83">
        <v>0</v>
      </c>
      <c r="G15" s="83">
        <v>5208.3333333333303</v>
      </c>
      <c r="H15" s="82">
        <v>-1</v>
      </c>
      <c r="I15" s="83">
        <v>11177.3800048828</v>
      </c>
      <c r="J15" s="82">
        <v>-1</v>
      </c>
      <c r="K15" s="83">
        <v>182290.758331299</v>
      </c>
      <c r="L15" s="83">
        <v>295208.33333333302</v>
      </c>
      <c r="M15" s="82">
        <v>-0.38</v>
      </c>
      <c r="N15" s="83">
        <v>162860.80946350101</v>
      </c>
      <c r="O15" s="82">
        <v>0.12</v>
      </c>
      <c r="P15" s="83">
        <v>1315.78947368421</v>
      </c>
      <c r="Q15" s="83">
        <v>0</v>
      </c>
      <c r="R15" s="198">
        <v>0</v>
      </c>
    </row>
    <row r="16" spans="1:213" ht="14.25" customHeight="1">
      <c r="A16" s="197" t="s">
        <v>50</v>
      </c>
      <c r="B16" s="192" t="s">
        <v>51</v>
      </c>
      <c r="C16" s="192" t="s">
        <v>56</v>
      </c>
      <c r="D16" s="84" t="s">
        <v>154</v>
      </c>
      <c r="E16" s="127">
        <v>0</v>
      </c>
      <c r="F16" s="83">
        <v>0</v>
      </c>
      <c r="G16" s="83">
        <v>0</v>
      </c>
      <c r="H16" s="82" t="s">
        <v>15</v>
      </c>
      <c r="I16" s="83">
        <v>0</v>
      </c>
      <c r="J16" s="82" t="s">
        <v>15</v>
      </c>
      <c r="K16" s="83">
        <v>0</v>
      </c>
      <c r="L16" s="83">
        <v>0</v>
      </c>
      <c r="M16" s="82" t="s">
        <v>15</v>
      </c>
      <c r="N16" s="83">
        <v>0</v>
      </c>
      <c r="O16" s="82" t="s">
        <v>15</v>
      </c>
      <c r="P16" s="83">
        <v>0</v>
      </c>
      <c r="Q16" s="83">
        <v>0</v>
      </c>
      <c r="R16" s="198">
        <v>0</v>
      </c>
    </row>
    <row r="17" spans="1:18" ht="14.25" customHeight="1" thickBot="1">
      <c r="A17" s="199" t="s">
        <v>50</v>
      </c>
      <c r="B17" s="200" t="s">
        <v>51</v>
      </c>
      <c r="C17" s="200" t="s">
        <v>56</v>
      </c>
      <c r="D17" s="81" t="s">
        <v>60</v>
      </c>
      <c r="E17" s="128">
        <v>0</v>
      </c>
      <c r="F17" s="80">
        <v>0</v>
      </c>
      <c r="G17" s="80">
        <v>375000</v>
      </c>
      <c r="H17" s="201">
        <v>-1</v>
      </c>
      <c r="I17" s="80">
        <v>1948160.2</v>
      </c>
      <c r="J17" s="201">
        <v>-1</v>
      </c>
      <c r="K17" s="80">
        <v>12477429.529999999</v>
      </c>
      <c r="L17" s="80">
        <v>16325000</v>
      </c>
      <c r="M17" s="201">
        <v>-0.24</v>
      </c>
      <c r="N17" s="80">
        <v>16132618.07</v>
      </c>
      <c r="O17" s="201">
        <v>-0.23</v>
      </c>
      <c r="P17" s="80">
        <v>94736.842105263204</v>
      </c>
      <c r="Q17" s="80">
        <v>12582</v>
      </c>
      <c r="R17" s="202">
        <v>0</v>
      </c>
    </row>
    <row r="18" spans="1:18" ht="14.25" customHeight="1">
      <c r="A18" s="193" t="s">
        <v>50</v>
      </c>
      <c r="B18" s="194" t="s">
        <v>52</v>
      </c>
      <c r="C18" s="194" t="s">
        <v>53</v>
      </c>
      <c r="D18" s="86" t="s">
        <v>49</v>
      </c>
      <c r="E18" s="126">
        <v>0</v>
      </c>
      <c r="F18" s="85">
        <v>0</v>
      </c>
      <c r="G18" s="85">
        <v>83333.333333333299</v>
      </c>
      <c r="H18" s="195">
        <v>-1</v>
      </c>
      <c r="I18" s="85">
        <v>92333.978515625</v>
      </c>
      <c r="J18" s="195">
        <v>-1</v>
      </c>
      <c r="K18" s="85">
        <v>6725540.1492309598</v>
      </c>
      <c r="L18" s="85">
        <v>7683333.3333333302</v>
      </c>
      <c r="M18" s="195">
        <v>-0.12</v>
      </c>
      <c r="N18" s="85">
        <v>7074561.9147338904</v>
      </c>
      <c r="O18" s="195">
        <v>-0.05</v>
      </c>
      <c r="P18" s="85">
        <v>21052.631578947399</v>
      </c>
      <c r="Q18" s="85">
        <v>0</v>
      </c>
      <c r="R18" s="196">
        <v>0</v>
      </c>
    </row>
    <row r="19" spans="1:18" ht="14.25" customHeight="1">
      <c r="A19" s="197" t="s">
        <v>50</v>
      </c>
      <c r="B19" s="192" t="s">
        <v>52</v>
      </c>
      <c r="C19" s="192" t="s">
        <v>53</v>
      </c>
      <c r="D19" s="84" t="s">
        <v>191</v>
      </c>
      <c r="E19" s="127">
        <v>0</v>
      </c>
      <c r="F19" s="83">
        <v>0</v>
      </c>
      <c r="G19" s="83">
        <v>16666.666666666701</v>
      </c>
      <c r="H19" s="82">
        <v>-1</v>
      </c>
      <c r="I19" s="83">
        <v>22578.3299942017</v>
      </c>
      <c r="J19" s="82">
        <v>-1</v>
      </c>
      <c r="K19" s="83">
        <v>1074158.8086395301</v>
      </c>
      <c r="L19" s="83">
        <v>1546666.66666667</v>
      </c>
      <c r="M19" s="82">
        <v>-0.31</v>
      </c>
      <c r="N19" s="83">
        <v>1036453.03400421</v>
      </c>
      <c r="O19" s="82">
        <v>0.04</v>
      </c>
      <c r="P19" s="83">
        <v>4210.5263157894697</v>
      </c>
      <c r="Q19" s="83">
        <v>0</v>
      </c>
      <c r="R19" s="198">
        <v>0</v>
      </c>
    </row>
    <row r="20" spans="1:18" ht="14.25" customHeight="1">
      <c r="A20" s="197" t="s">
        <v>50</v>
      </c>
      <c r="B20" s="192" t="s">
        <v>52</v>
      </c>
      <c r="C20" s="192" t="s">
        <v>53</v>
      </c>
      <c r="D20" s="84" t="s">
        <v>47</v>
      </c>
      <c r="E20" s="127">
        <v>0</v>
      </c>
      <c r="F20" s="83">
        <v>0</v>
      </c>
      <c r="G20" s="83">
        <v>16666.666666666701</v>
      </c>
      <c r="H20" s="82">
        <v>-1</v>
      </c>
      <c r="I20" s="83">
        <v>-26205.2197265625</v>
      </c>
      <c r="J20" s="82">
        <v>-1</v>
      </c>
      <c r="K20" s="83">
        <v>2368952.4063797002</v>
      </c>
      <c r="L20" s="83">
        <v>4066666.6666666698</v>
      </c>
      <c r="M20" s="82">
        <v>-0.42</v>
      </c>
      <c r="N20" s="83">
        <v>3773330.88459206</v>
      </c>
      <c r="O20" s="82">
        <v>-0.37</v>
      </c>
      <c r="P20" s="83">
        <v>4210.5263157894697</v>
      </c>
      <c r="Q20" s="83">
        <v>0</v>
      </c>
      <c r="R20" s="198">
        <v>0</v>
      </c>
    </row>
    <row r="21" spans="1:18" ht="14.25" customHeight="1">
      <c r="A21" s="197" t="s">
        <v>50</v>
      </c>
      <c r="B21" s="192" t="s">
        <v>52</v>
      </c>
      <c r="C21" s="192" t="s">
        <v>53</v>
      </c>
      <c r="D21" s="84" t="s">
        <v>62</v>
      </c>
      <c r="E21" s="127">
        <v>0</v>
      </c>
      <c r="F21" s="83">
        <v>0</v>
      </c>
      <c r="G21" s="83">
        <v>0</v>
      </c>
      <c r="H21" s="82" t="s">
        <v>15</v>
      </c>
      <c r="I21" s="83">
        <v>20250</v>
      </c>
      <c r="J21" s="82">
        <v>-1</v>
      </c>
      <c r="K21" s="83">
        <v>327791.15168762201</v>
      </c>
      <c r="L21" s="83">
        <v>0</v>
      </c>
      <c r="M21" s="82" t="s">
        <v>15</v>
      </c>
      <c r="N21" s="83">
        <v>211497.5</v>
      </c>
      <c r="O21" s="82">
        <v>0.55000000000000004</v>
      </c>
      <c r="P21" s="83">
        <v>0</v>
      </c>
      <c r="Q21" s="83">
        <v>0</v>
      </c>
      <c r="R21" s="198">
        <v>0</v>
      </c>
    </row>
    <row r="22" spans="1:18" ht="14.25" customHeight="1">
      <c r="A22" s="197" t="s">
        <v>50</v>
      </c>
      <c r="B22" s="192" t="s">
        <v>52</v>
      </c>
      <c r="C22" s="192" t="s">
        <v>53</v>
      </c>
      <c r="D22" s="84" t="s">
        <v>6</v>
      </c>
      <c r="E22" s="127">
        <v>0</v>
      </c>
      <c r="F22" s="83">
        <v>0</v>
      </c>
      <c r="G22" s="83">
        <v>0</v>
      </c>
      <c r="H22" s="82" t="s">
        <v>15</v>
      </c>
      <c r="I22" s="83">
        <v>0</v>
      </c>
      <c r="J22" s="82" t="s">
        <v>15</v>
      </c>
      <c r="K22" s="83">
        <v>11543.5</v>
      </c>
      <c r="L22" s="83">
        <v>0</v>
      </c>
      <c r="M22" s="82" t="s">
        <v>15</v>
      </c>
      <c r="N22" s="83">
        <v>0</v>
      </c>
      <c r="O22" s="82" t="s">
        <v>15</v>
      </c>
      <c r="P22" s="83">
        <v>0</v>
      </c>
      <c r="Q22" s="83">
        <v>0</v>
      </c>
      <c r="R22" s="198">
        <v>0</v>
      </c>
    </row>
    <row r="23" spans="1:18" ht="14.25" customHeight="1">
      <c r="A23" s="197" t="s">
        <v>50</v>
      </c>
      <c r="B23" s="192" t="s">
        <v>52</v>
      </c>
      <c r="C23" s="192" t="s">
        <v>53</v>
      </c>
      <c r="D23" s="84" t="s">
        <v>61</v>
      </c>
      <c r="E23" s="127">
        <v>0</v>
      </c>
      <c r="F23" s="83">
        <v>0</v>
      </c>
      <c r="G23" s="83">
        <v>0</v>
      </c>
      <c r="H23" s="82" t="s">
        <v>15</v>
      </c>
      <c r="I23" s="83">
        <v>0</v>
      </c>
      <c r="J23" s="82" t="s">
        <v>15</v>
      </c>
      <c r="K23" s="83">
        <v>0</v>
      </c>
      <c r="L23" s="83">
        <v>0</v>
      </c>
      <c r="M23" s="82" t="s">
        <v>15</v>
      </c>
      <c r="N23" s="83">
        <v>0</v>
      </c>
      <c r="O23" s="82" t="s">
        <v>15</v>
      </c>
      <c r="P23" s="83">
        <v>0</v>
      </c>
      <c r="Q23" s="83">
        <v>0</v>
      </c>
      <c r="R23" s="198">
        <v>0</v>
      </c>
    </row>
    <row r="24" spans="1:18" ht="14.25" customHeight="1">
      <c r="A24" s="197" t="s">
        <v>50</v>
      </c>
      <c r="B24" s="192" t="s">
        <v>52</v>
      </c>
      <c r="C24" s="192" t="s">
        <v>53</v>
      </c>
      <c r="D24" s="84" t="s">
        <v>154</v>
      </c>
      <c r="E24" s="127">
        <v>0</v>
      </c>
      <c r="F24" s="83">
        <v>0</v>
      </c>
      <c r="G24" s="83">
        <v>0</v>
      </c>
      <c r="H24" s="82" t="s">
        <v>15</v>
      </c>
      <c r="I24" s="83">
        <v>0</v>
      </c>
      <c r="J24" s="82" t="s">
        <v>15</v>
      </c>
      <c r="K24" s="83">
        <v>0</v>
      </c>
      <c r="L24" s="83">
        <v>0</v>
      </c>
      <c r="M24" s="82" t="s">
        <v>15</v>
      </c>
      <c r="N24" s="83">
        <v>0</v>
      </c>
      <c r="O24" s="82" t="s">
        <v>15</v>
      </c>
      <c r="P24" s="83">
        <v>0</v>
      </c>
      <c r="Q24" s="83">
        <v>0</v>
      </c>
      <c r="R24" s="198">
        <v>0</v>
      </c>
    </row>
    <row r="25" spans="1:18" ht="14.25" customHeight="1" thickBot="1">
      <c r="A25" s="199" t="s">
        <v>50</v>
      </c>
      <c r="B25" s="200" t="s">
        <v>52</v>
      </c>
      <c r="C25" s="200" t="s">
        <v>53</v>
      </c>
      <c r="D25" s="81" t="s">
        <v>60</v>
      </c>
      <c r="E25" s="128">
        <v>0</v>
      </c>
      <c r="F25" s="80">
        <v>0</v>
      </c>
      <c r="G25" s="80">
        <v>125000</v>
      </c>
      <c r="H25" s="201">
        <v>-1</v>
      </c>
      <c r="I25" s="80">
        <v>165916.87</v>
      </c>
      <c r="J25" s="201">
        <v>-1</v>
      </c>
      <c r="K25" s="80">
        <v>15471776.98</v>
      </c>
      <c r="L25" s="80">
        <v>17155000</v>
      </c>
      <c r="M25" s="201">
        <v>-0.1</v>
      </c>
      <c r="N25" s="80">
        <v>16355076.029999999</v>
      </c>
      <c r="O25" s="201">
        <v>-0.05</v>
      </c>
      <c r="P25" s="80">
        <v>31578.947368421101</v>
      </c>
      <c r="Q25" s="80">
        <v>0</v>
      </c>
      <c r="R25" s="202">
        <v>0</v>
      </c>
    </row>
    <row r="26" spans="1:18" ht="14.25" customHeight="1">
      <c r="A26" s="193" t="s">
        <v>50</v>
      </c>
      <c r="B26" s="194" t="s">
        <v>170</v>
      </c>
      <c r="C26" s="194" t="s">
        <v>54</v>
      </c>
      <c r="D26" s="86" t="s">
        <v>49</v>
      </c>
      <c r="E26" s="126">
        <v>0</v>
      </c>
      <c r="F26" s="85">
        <v>0</v>
      </c>
      <c r="G26" s="85">
        <v>62500</v>
      </c>
      <c r="H26" s="195">
        <v>-1</v>
      </c>
      <c r="I26" s="85">
        <v>275025.34484863299</v>
      </c>
      <c r="J26" s="195">
        <v>-1</v>
      </c>
      <c r="K26" s="85">
        <v>5759585.3507080097</v>
      </c>
      <c r="L26" s="85">
        <v>4162500</v>
      </c>
      <c r="M26" s="195">
        <v>0.38</v>
      </c>
      <c r="N26" s="85">
        <v>5518993.1291503897</v>
      </c>
      <c r="O26" s="195">
        <v>0.04</v>
      </c>
      <c r="P26" s="85">
        <v>15789.473684210499</v>
      </c>
      <c r="Q26" s="85">
        <v>4061.25</v>
      </c>
      <c r="R26" s="196">
        <v>0</v>
      </c>
    </row>
    <row r="27" spans="1:18" ht="14.25" customHeight="1">
      <c r="A27" s="197" t="s">
        <v>50</v>
      </c>
      <c r="B27" s="192" t="s">
        <v>170</v>
      </c>
      <c r="C27" s="192" t="s">
        <v>54</v>
      </c>
      <c r="D27" s="84" t="s">
        <v>191</v>
      </c>
      <c r="E27" s="127">
        <v>0</v>
      </c>
      <c r="F27" s="83">
        <v>0</v>
      </c>
      <c r="G27" s="83">
        <v>16666.666666666701</v>
      </c>
      <c r="H27" s="82">
        <v>-1</v>
      </c>
      <c r="I27" s="83">
        <v>49085.851764678999</v>
      </c>
      <c r="J27" s="82">
        <v>-1</v>
      </c>
      <c r="K27" s="83">
        <v>1837373.8382568399</v>
      </c>
      <c r="L27" s="83">
        <v>2516666.6666666698</v>
      </c>
      <c r="M27" s="82">
        <v>-0.27</v>
      </c>
      <c r="N27" s="83">
        <v>2321511.3179435702</v>
      </c>
      <c r="O27" s="82">
        <v>-0.21</v>
      </c>
      <c r="P27" s="83">
        <v>4210.5263157894697</v>
      </c>
      <c r="Q27" s="83">
        <v>0</v>
      </c>
      <c r="R27" s="198">
        <v>0</v>
      </c>
    </row>
    <row r="28" spans="1:18" ht="14.25" customHeight="1">
      <c r="A28" s="197" t="s">
        <v>50</v>
      </c>
      <c r="B28" s="192" t="s">
        <v>170</v>
      </c>
      <c r="C28" s="192" t="s">
        <v>54</v>
      </c>
      <c r="D28" s="84" t="s">
        <v>47</v>
      </c>
      <c r="E28" s="127">
        <v>0</v>
      </c>
      <c r="F28" s="83">
        <v>0</v>
      </c>
      <c r="G28" s="83">
        <v>8333.3333333333303</v>
      </c>
      <c r="H28" s="82">
        <v>-1</v>
      </c>
      <c r="I28" s="83">
        <v>8040.1201171875</v>
      </c>
      <c r="J28" s="82">
        <v>-1</v>
      </c>
      <c r="K28" s="83">
        <v>2076294.78812027</v>
      </c>
      <c r="L28" s="83">
        <v>1288333.33333333</v>
      </c>
      <c r="M28" s="82">
        <v>0.61</v>
      </c>
      <c r="N28" s="83">
        <v>1667801.4611206099</v>
      </c>
      <c r="O28" s="82">
        <v>0.24</v>
      </c>
      <c r="P28" s="83">
        <v>2105.2631578947398</v>
      </c>
      <c r="Q28" s="83">
        <v>0</v>
      </c>
      <c r="R28" s="198">
        <v>0</v>
      </c>
    </row>
    <row r="29" spans="1:18" ht="14.25" customHeight="1">
      <c r="A29" s="197" t="s">
        <v>50</v>
      </c>
      <c r="B29" s="192" t="s">
        <v>170</v>
      </c>
      <c r="C29" s="192" t="s">
        <v>54</v>
      </c>
      <c r="D29" s="84" t="s">
        <v>62</v>
      </c>
      <c r="E29" s="127">
        <v>0</v>
      </c>
      <c r="F29" s="83">
        <v>0</v>
      </c>
      <c r="G29" s="83">
        <v>0</v>
      </c>
      <c r="H29" s="82" t="s">
        <v>15</v>
      </c>
      <c r="I29" s="83">
        <v>314645.83001709002</v>
      </c>
      <c r="J29" s="82">
        <v>-1</v>
      </c>
      <c r="K29" s="83">
        <v>0</v>
      </c>
      <c r="L29" s="83">
        <v>0</v>
      </c>
      <c r="M29" s="82" t="s">
        <v>15</v>
      </c>
      <c r="N29" s="83">
        <v>4504295.34009552</v>
      </c>
      <c r="O29" s="82">
        <v>-1</v>
      </c>
      <c r="P29" s="83">
        <v>0</v>
      </c>
      <c r="Q29" s="83">
        <v>0</v>
      </c>
      <c r="R29" s="198">
        <v>0</v>
      </c>
    </row>
    <row r="30" spans="1:18" ht="14.25" customHeight="1">
      <c r="A30" s="197" t="s">
        <v>50</v>
      </c>
      <c r="B30" s="192" t="s">
        <v>170</v>
      </c>
      <c r="C30" s="192" t="s">
        <v>54</v>
      </c>
      <c r="D30" s="84" t="s">
        <v>6</v>
      </c>
      <c r="E30" s="127">
        <v>0</v>
      </c>
      <c r="F30" s="83">
        <v>0</v>
      </c>
      <c r="G30" s="83">
        <v>0</v>
      </c>
      <c r="H30" s="82" t="s">
        <v>15</v>
      </c>
      <c r="I30" s="83">
        <v>14124</v>
      </c>
      <c r="J30" s="82">
        <v>-1</v>
      </c>
      <c r="K30" s="83">
        <v>0</v>
      </c>
      <c r="L30" s="83">
        <v>0</v>
      </c>
      <c r="M30" s="82" t="s">
        <v>15</v>
      </c>
      <c r="N30" s="83">
        <v>303409.98004150402</v>
      </c>
      <c r="O30" s="82">
        <v>-1</v>
      </c>
      <c r="P30" s="83">
        <v>0</v>
      </c>
      <c r="Q30" s="83">
        <v>0</v>
      </c>
      <c r="R30" s="198">
        <v>0</v>
      </c>
    </row>
    <row r="31" spans="1:18" ht="14.25" customHeight="1">
      <c r="A31" s="197" t="s">
        <v>50</v>
      </c>
      <c r="B31" s="192" t="s">
        <v>170</v>
      </c>
      <c r="C31" s="192" t="s">
        <v>54</v>
      </c>
      <c r="D31" s="84" t="s">
        <v>61</v>
      </c>
      <c r="E31" s="127">
        <v>0</v>
      </c>
      <c r="F31" s="83">
        <v>0</v>
      </c>
      <c r="G31" s="83">
        <v>0</v>
      </c>
      <c r="H31" s="82" t="s">
        <v>15</v>
      </c>
      <c r="I31" s="83">
        <v>5673.77978515625</v>
      </c>
      <c r="J31" s="82">
        <v>-1</v>
      </c>
      <c r="K31" s="83">
        <v>0</v>
      </c>
      <c r="L31" s="83">
        <v>0</v>
      </c>
      <c r="M31" s="82" t="s">
        <v>15</v>
      </c>
      <c r="N31" s="83">
        <v>134878.707397461</v>
      </c>
      <c r="O31" s="82">
        <v>-1</v>
      </c>
      <c r="P31" s="83">
        <v>0</v>
      </c>
      <c r="Q31" s="83">
        <v>0</v>
      </c>
      <c r="R31" s="198">
        <v>0</v>
      </c>
    </row>
    <row r="32" spans="1:18" ht="14.25" customHeight="1">
      <c r="A32" s="197" t="s">
        <v>50</v>
      </c>
      <c r="B32" s="192" t="s">
        <v>170</v>
      </c>
      <c r="C32" s="192" t="s">
        <v>54</v>
      </c>
      <c r="D32" s="84" t="s">
        <v>154</v>
      </c>
      <c r="E32" s="127">
        <v>0</v>
      </c>
      <c r="F32" s="83">
        <v>0</v>
      </c>
      <c r="G32" s="83">
        <v>0</v>
      </c>
      <c r="H32" s="82" t="s">
        <v>15</v>
      </c>
      <c r="I32" s="83">
        <v>0</v>
      </c>
      <c r="J32" s="82" t="s">
        <v>15</v>
      </c>
      <c r="K32" s="83">
        <v>0</v>
      </c>
      <c r="L32" s="83">
        <v>0</v>
      </c>
      <c r="M32" s="82" t="s">
        <v>15</v>
      </c>
      <c r="N32" s="83">
        <v>0</v>
      </c>
      <c r="O32" s="82" t="s">
        <v>15</v>
      </c>
      <c r="P32" s="83">
        <v>0</v>
      </c>
      <c r="Q32" s="83">
        <v>0</v>
      </c>
      <c r="R32" s="198">
        <v>0</v>
      </c>
    </row>
    <row r="33" spans="1:18" ht="14.25" customHeight="1" thickBot="1">
      <c r="A33" s="199" t="s">
        <v>50</v>
      </c>
      <c r="B33" s="200" t="s">
        <v>170</v>
      </c>
      <c r="C33" s="200" t="s">
        <v>54</v>
      </c>
      <c r="D33" s="81" t="s">
        <v>60</v>
      </c>
      <c r="E33" s="128">
        <v>0</v>
      </c>
      <c r="F33" s="80">
        <v>0</v>
      </c>
      <c r="G33" s="80">
        <v>145833.33333333299</v>
      </c>
      <c r="H33" s="201">
        <v>-1</v>
      </c>
      <c r="I33" s="80">
        <v>1121396.95</v>
      </c>
      <c r="J33" s="201">
        <v>-1</v>
      </c>
      <c r="K33" s="80">
        <v>14913447.859999999</v>
      </c>
      <c r="L33" s="80">
        <v>10045833.3333333</v>
      </c>
      <c r="M33" s="201">
        <v>0.48</v>
      </c>
      <c r="N33" s="80">
        <v>22362490.41</v>
      </c>
      <c r="O33" s="201">
        <v>-0.33</v>
      </c>
      <c r="P33" s="80">
        <v>36842.1052631579</v>
      </c>
      <c r="Q33" s="80">
        <v>5894.5833333333303</v>
      </c>
      <c r="R33" s="202">
        <v>0</v>
      </c>
    </row>
    <row r="34" spans="1:18" ht="14.25" customHeight="1">
      <c r="A34" s="193" t="s">
        <v>50</v>
      </c>
      <c r="B34" s="194" t="s">
        <v>173</v>
      </c>
      <c r="C34" s="194" t="s">
        <v>115</v>
      </c>
      <c r="D34" s="86" t="s">
        <v>49</v>
      </c>
      <c r="E34" s="126">
        <v>0</v>
      </c>
      <c r="F34" s="85">
        <v>0</v>
      </c>
      <c r="G34" s="85">
        <v>0</v>
      </c>
      <c r="H34" s="195" t="s">
        <v>15</v>
      </c>
      <c r="I34" s="85">
        <v>0</v>
      </c>
      <c r="J34" s="195" t="s">
        <v>15</v>
      </c>
      <c r="K34" s="85">
        <v>0</v>
      </c>
      <c r="L34" s="85">
        <v>0</v>
      </c>
      <c r="M34" s="195" t="s">
        <v>15</v>
      </c>
      <c r="N34" s="85">
        <v>0</v>
      </c>
      <c r="O34" s="195" t="s">
        <v>15</v>
      </c>
      <c r="P34" s="85">
        <v>0</v>
      </c>
      <c r="Q34" s="85">
        <v>0</v>
      </c>
      <c r="R34" s="196">
        <v>0</v>
      </c>
    </row>
    <row r="35" spans="1:18" ht="14.25" customHeight="1">
      <c r="A35" s="197" t="s">
        <v>50</v>
      </c>
      <c r="B35" s="192" t="s">
        <v>173</v>
      </c>
      <c r="C35" s="192" t="s">
        <v>115</v>
      </c>
      <c r="D35" s="84" t="s">
        <v>191</v>
      </c>
      <c r="E35" s="127">
        <v>0</v>
      </c>
      <c r="F35" s="83">
        <v>0</v>
      </c>
      <c r="G35" s="83">
        <v>0</v>
      </c>
      <c r="H35" s="82" t="s">
        <v>15</v>
      </c>
      <c r="I35" s="83">
        <v>0</v>
      </c>
      <c r="J35" s="82" t="s">
        <v>15</v>
      </c>
      <c r="K35" s="83">
        <v>0</v>
      </c>
      <c r="L35" s="83">
        <v>0</v>
      </c>
      <c r="M35" s="82" t="s">
        <v>15</v>
      </c>
      <c r="N35" s="83">
        <v>0</v>
      </c>
      <c r="O35" s="82" t="s">
        <v>15</v>
      </c>
      <c r="P35" s="83">
        <v>0</v>
      </c>
      <c r="Q35" s="83">
        <v>0</v>
      </c>
      <c r="R35" s="198">
        <v>0</v>
      </c>
    </row>
    <row r="36" spans="1:18" ht="14.25" customHeight="1">
      <c r="A36" s="197" t="s">
        <v>50</v>
      </c>
      <c r="B36" s="192" t="s">
        <v>173</v>
      </c>
      <c r="C36" s="192" t="s">
        <v>115</v>
      </c>
      <c r="D36" s="84" t="s">
        <v>47</v>
      </c>
      <c r="E36" s="127">
        <v>0</v>
      </c>
      <c r="F36" s="83">
        <v>0</v>
      </c>
      <c r="G36" s="83">
        <v>0</v>
      </c>
      <c r="H36" s="82" t="s">
        <v>15</v>
      </c>
      <c r="I36" s="83">
        <v>0</v>
      </c>
      <c r="J36" s="82" t="s">
        <v>15</v>
      </c>
      <c r="K36" s="83">
        <v>-126.5</v>
      </c>
      <c r="L36" s="83">
        <v>0</v>
      </c>
      <c r="M36" s="82" t="s">
        <v>15</v>
      </c>
      <c r="N36" s="83">
        <v>0</v>
      </c>
      <c r="O36" s="82" t="s">
        <v>15</v>
      </c>
      <c r="P36" s="83">
        <v>0</v>
      </c>
      <c r="Q36" s="83">
        <v>0</v>
      </c>
      <c r="R36" s="198">
        <v>0</v>
      </c>
    </row>
    <row r="37" spans="1:18" ht="14.25" customHeight="1">
      <c r="A37" s="197" t="s">
        <v>50</v>
      </c>
      <c r="B37" s="192" t="s">
        <v>173</v>
      </c>
      <c r="C37" s="192" t="s">
        <v>115</v>
      </c>
      <c r="D37" s="84" t="s">
        <v>62</v>
      </c>
      <c r="E37" s="127">
        <v>0</v>
      </c>
      <c r="F37" s="83">
        <v>0</v>
      </c>
      <c r="G37" s="83">
        <v>166666.66666666701</v>
      </c>
      <c r="H37" s="82">
        <v>-1</v>
      </c>
      <c r="I37" s="83">
        <v>0</v>
      </c>
      <c r="J37" s="82" t="s">
        <v>15</v>
      </c>
      <c r="K37" s="83">
        <v>4150650.09892273</v>
      </c>
      <c r="L37" s="83">
        <v>4596666.6666666698</v>
      </c>
      <c r="M37" s="82">
        <v>-0.1</v>
      </c>
      <c r="N37" s="83">
        <v>0</v>
      </c>
      <c r="O37" s="82" t="s">
        <v>15</v>
      </c>
      <c r="P37" s="83">
        <v>42105.263157894697</v>
      </c>
      <c r="Q37" s="83">
        <v>2470</v>
      </c>
      <c r="R37" s="198">
        <v>0</v>
      </c>
    </row>
    <row r="38" spans="1:18" ht="14.25" customHeight="1">
      <c r="A38" s="197" t="s">
        <v>50</v>
      </c>
      <c r="B38" s="192" t="s">
        <v>173</v>
      </c>
      <c r="C38" s="192" t="s">
        <v>115</v>
      </c>
      <c r="D38" s="84" t="s">
        <v>6</v>
      </c>
      <c r="E38" s="127">
        <v>0</v>
      </c>
      <c r="F38" s="83">
        <v>0</v>
      </c>
      <c r="G38" s="83">
        <v>10416.666666666701</v>
      </c>
      <c r="H38" s="82">
        <v>-1</v>
      </c>
      <c r="I38" s="83">
        <v>0</v>
      </c>
      <c r="J38" s="82" t="s">
        <v>15</v>
      </c>
      <c r="K38" s="83">
        <v>240778.810080528</v>
      </c>
      <c r="L38" s="83">
        <v>1150416.66666667</v>
      </c>
      <c r="M38" s="82">
        <v>-0.79</v>
      </c>
      <c r="N38" s="83">
        <v>0</v>
      </c>
      <c r="O38" s="82" t="s">
        <v>15</v>
      </c>
      <c r="P38" s="83">
        <v>2631.5789473684199</v>
      </c>
      <c r="Q38" s="83">
        <v>0</v>
      </c>
      <c r="R38" s="198">
        <v>0</v>
      </c>
    </row>
    <row r="39" spans="1:18" ht="14.25" customHeight="1">
      <c r="A39" s="197" t="s">
        <v>50</v>
      </c>
      <c r="B39" s="192" t="s">
        <v>173</v>
      </c>
      <c r="C39" s="192" t="s">
        <v>115</v>
      </c>
      <c r="D39" s="84" t="s">
        <v>61</v>
      </c>
      <c r="E39" s="127">
        <v>0</v>
      </c>
      <c r="F39" s="83">
        <v>0</v>
      </c>
      <c r="G39" s="83">
        <v>10416.666666666701</v>
      </c>
      <c r="H39" s="82">
        <v>-1</v>
      </c>
      <c r="I39" s="83">
        <v>0</v>
      </c>
      <c r="J39" s="82" t="s">
        <v>15</v>
      </c>
      <c r="K39" s="83">
        <v>101218.300140381</v>
      </c>
      <c r="L39" s="83">
        <v>320416.66666666698</v>
      </c>
      <c r="M39" s="82">
        <v>-0.68</v>
      </c>
      <c r="N39" s="83">
        <v>0</v>
      </c>
      <c r="O39" s="82" t="s">
        <v>15</v>
      </c>
      <c r="P39" s="83">
        <v>2631.5789473684199</v>
      </c>
      <c r="Q39" s="83">
        <v>1484.2666666666701</v>
      </c>
      <c r="R39" s="198">
        <v>0</v>
      </c>
    </row>
    <row r="40" spans="1:18" ht="14.25" customHeight="1">
      <c r="A40" s="197" t="s">
        <v>50</v>
      </c>
      <c r="B40" s="192" t="s">
        <v>173</v>
      </c>
      <c r="C40" s="192" t="s">
        <v>115</v>
      </c>
      <c r="D40" s="84" t="s">
        <v>154</v>
      </c>
      <c r="E40" s="127">
        <v>0</v>
      </c>
      <c r="F40" s="83">
        <v>0</v>
      </c>
      <c r="G40" s="83">
        <v>0</v>
      </c>
      <c r="H40" s="82" t="s">
        <v>15</v>
      </c>
      <c r="I40" s="83">
        <v>0</v>
      </c>
      <c r="J40" s="82" t="s">
        <v>15</v>
      </c>
      <c r="K40" s="83">
        <v>0</v>
      </c>
      <c r="L40" s="83">
        <v>0</v>
      </c>
      <c r="M40" s="82" t="s">
        <v>15</v>
      </c>
      <c r="N40" s="83">
        <v>0</v>
      </c>
      <c r="O40" s="82" t="s">
        <v>15</v>
      </c>
      <c r="P40" s="83">
        <v>0</v>
      </c>
      <c r="Q40" s="83">
        <v>0</v>
      </c>
      <c r="R40" s="198">
        <v>0</v>
      </c>
    </row>
    <row r="41" spans="1:18" ht="14.25" customHeight="1" thickBot="1">
      <c r="A41" s="199" t="s">
        <v>50</v>
      </c>
      <c r="B41" s="200" t="s">
        <v>173</v>
      </c>
      <c r="C41" s="200" t="s">
        <v>115</v>
      </c>
      <c r="D41" s="81" t="s">
        <v>60</v>
      </c>
      <c r="E41" s="128">
        <v>0</v>
      </c>
      <c r="F41" s="80">
        <v>0</v>
      </c>
      <c r="G41" s="80">
        <v>166666.66666666701</v>
      </c>
      <c r="H41" s="201">
        <v>-1</v>
      </c>
      <c r="I41" s="80">
        <v>0</v>
      </c>
      <c r="J41" s="201" t="s">
        <v>15</v>
      </c>
      <c r="K41" s="80">
        <v>7729760.2400000002</v>
      </c>
      <c r="L41" s="80">
        <v>10066666.6666667</v>
      </c>
      <c r="M41" s="201">
        <v>-0.23</v>
      </c>
      <c r="N41" s="80">
        <v>0</v>
      </c>
      <c r="O41" s="201" t="s">
        <v>15</v>
      </c>
      <c r="P41" s="80">
        <v>42105.263157894697</v>
      </c>
      <c r="Q41" s="80">
        <v>11394.266666666699</v>
      </c>
      <c r="R41" s="202">
        <v>0</v>
      </c>
    </row>
    <row r="42" spans="1:18" ht="14.25" customHeight="1">
      <c r="A42" s="193" t="s">
        <v>50</v>
      </c>
      <c r="B42" s="194" t="s">
        <v>171</v>
      </c>
      <c r="C42" s="194" t="s">
        <v>172</v>
      </c>
      <c r="D42" s="86" t="s">
        <v>49</v>
      </c>
      <c r="E42" s="126">
        <v>0</v>
      </c>
      <c r="F42" s="85">
        <v>0</v>
      </c>
      <c r="G42" s="85">
        <v>9375</v>
      </c>
      <c r="H42" s="195">
        <v>-1</v>
      </c>
      <c r="I42" s="85">
        <v>0</v>
      </c>
      <c r="J42" s="195" t="s">
        <v>15</v>
      </c>
      <c r="K42" s="85">
        <v>191035.420818329</v>
      </c>
      <c r="L42" s="85">
        <v>212375</v>
      </c>
      <c r="M42" s="195">
        <v>-0.1</v>
      </c>
      <c r="N42" s="85">
        <v>0</v>
      </c>
      <c r="O42" s="195" t="s">
        <v>15</v>
      </c>
      <c r="P42" s="85">
        <v>2368.4210526315801</v>
      </c>
      <c r="Q42" s="85">
        <v>0</v>
      </c>
      <c r="R42" s="196">
        <v>0</v>
      </c>
    </row>
    <row r="43" spans="1:18" ht="14.25" customHeight="1">
      <c r="A43" s="197" t="s">
        <v>50</v>
      </c>
      <c r="B43" s="192" t="s">
        <v>171</v>
      </c>
      <c r="C43" s="192" t="s">
        <v>172</v>
      </c>
      <c r="D43" s="84" t="s">
        <v>191</v>
      </c>
      <c r="E43" s="127">
        <v>0</v>
      </c>
      <c r="F43" s="83">
        <v>0</v>
      </c>
      <c r="G43" s="83">
        <v>4166.6666666666697</v>
      </c>
      <c r="H43" s="82">
        <v>-1</v>
      </c>
      <c r="I43" s="83">
        <v>0</v>
      </c>
      <c r="J43" s="82" t="s">
        <v>15</v>
      </c>
      <c r="K43" s="83">
        <v>61142.410430908203</v>
      </c>
      <c r="L43" s="83">
        <v>149166.66666666701</v>
      </c>
      <c r="M43" s="82">
        <v>-0.59</v>
      </c>
      <c r="N43" s="83">
        <v>0</v>
      </c>
      <c r="O43" s="82" t="s">
        <v>15</v>
      </c>
      <c r="P43" s="83">
        <v>1052.6315789473699</v>
      </c>
      <c r="Q43" s="83">
        <v>0</v>
      </c>
      <c r="R43" s="198">
        <v>0</v>
      </c>
    </row>
    <row r="44" spans="1:18" ht="14.25" customHeight="1">
      <c r="A44" s="197" t="s">
        <v>50</v>
      </c>
      <c r="B44" s="192" t="s">
        <v>171</v>
      </c>
      <c r="C44" s="192" t="s">
        <v>172</v>
      </c>
      <c r="D44" s="84" t="s">
        <v>47</v>
      </c>
      <c r="E44" s="127">
        <v>0</v>
      </c>
      <c r="F44" s="83">
        <v>0</v>
      </c>
      <c r="G44" s="83">
        <v>3125</v>
      </c>
      <c r="H44" s="82">
        <v>-1</v>
      </c>
      <c r="I44" s="83">
        <v>0</v>
      </c>
      <c r="J44" s="82" t="s">
        <v>15</v>
      </c>
      <c r="K44" s="83">
        <v>148317.90093326601</v>
      </c>
      <c r="L44" s="83">
        <v>263125</v>
      </c>
      <c r="M44" s="82">
        <v>-0.44</v>
      </c>
      <c r="N44" s="83">
        <v>0</v>
      </c>
      <c r="O44" s="82" t="s">
        <v>15</v>
      </c>
      <c r="P44" s="83">
        <v>789.47368421052602</v>
      </c>
      <c r="Q44" s="83">
        <v>0</v>
      </c>
      <c r="R44" s="198">
        <v>0</v>
      </c>
    </row>
    <row r="45" spans="1:18" ht="14.25" customHeight="1">
      <c r="A45" s="197" t="s">
        <v>50</v>
      </c>
      <c r="B45" s="192" t="s">
        <v>171</v>
      </c>
      <c r="C45" s="192" t="s">
        <v>172</v>
      </c>
      <c r="D45" s="84" t="s">
        <v>62</v>
      </c>
      <c r="E45" s="127">
        <v>0</v>
      </c>
      <c r="F45" s="83">
        <v>0</v>
      </c>
      <c r="G45" s="83">
        <v>0</v>
      </c>
      <c r="H45" s="82" t="s">
        <v>15</v>
      </c>
      <c r="I45" s="83">
        <v>0</v>
      </c>
      <c r="J45" s="82" t="s">
        <v>15</v>
      </c>
      <c r="K45" s="83">
        <v>202708.58022213</v>
      </c>
      <c r="L45" s="83">
        <v>220000</v>
      </c>
      <c r="M45" s="82">
        <v>-0.08</v>
      </c>
      <c r="N45" s="83">
        <v>0</v>
      </c>
      <c r="O45" s="82" t="s">
        <v>15</v>
      </c>
      <c r="P45" s="83">
        <v>0</v>
      </c>
      <c r="Q45" s="83">
        <v>0</v>
      </c>
      <c r="R45" s="198">
        <v>0</v>
      </c>
    </row>
    <row r="46" spans="1:18" ht="14.25" customHeight="1">
      <c r="A46" s="197" t="s">
        <v>50</v>
      </c>
      <c r="B46" s="192" t="s">
        <v>171</v>
      </c>
      <c r="C46" s="192" t="s">
        <v>172</v>
      </c>
      <c r="D46" s="84" t="s">
        <v>6</v>
      </c>
      <c r="E46" s="127">
        <v>0</v>
      </c>
      <c r="F46" s="83">
        <v>0</v>
      </c>
      <c r="G46" s="83">
        <v>0</v>
      </c>
      <c r="H46" s="82" t="s">
        <v>15</v>
      </c>
      <c r="I46" s="83">
        <v>0</v>
      </c>
      <c r="J46" s="82" t="s">
        <v>15</v>
      </c>
      <c r="K46" s="83">
        <v>48684.489906310999</v>
      </c>
      <c r="L46" s="83">
        <v>100000</v>
      </c>
      <c r="M46" s="82">
        <v>-0.51</v>
      </c>
      <c r="N46" s="83">
        <v>0</v>
      </c>
      <c r="O46" s="82" t="s">
        <v>15</v>
      </c>
      <c r="P46" s="83">
        <v>0</v>
      </c>
      <c r="Q46" s="83">
        <v>0</v>
      </c>
      <c r="R46" s="198">
        <v>0</v>
      </c>
    </row>
    <row r="47" spans="1:18" ht="14.25" customHeight="1">
      <c r="A47" s="197" t="s">
        <v>50</v>
      </c>
      <c r="B47" s="192" t="s">
        <v>171</v>
      </c>
      <c r="C47" s="192" t="s">
        <v>172</v>
      </c>
      <c r="D47" s="84" t="s">
        <v>61</v>
      </c>
      <c r="E47" s="127">
        <v>0</v>
      </c>
      <c r="F47" s="83">
        <v>0</v>
      </c>
      <c r="G47" s="83">
        <v>0</v>
      </c>
      <c r="H47" s="82" t="s">
        <v>15</v>
      </c>
      <c r="I47" s="83">
        <v>0</v>
      </c>
      <c r="J47" s="82" t="s">
        <v>15</v>
      </c>
      <c r="K47" s="83">
        <v>40352.549827575698</v>
      </c>
      <c r="L47" s="83">
        <v>95000</v>
      </c>
      <c r="M47" s="82">
        <v>-0.57999999999999996</v>
      </c>
      <c r="N47" s="83">
        <v>0</v>
      </c>
      <c r="O47" s="82" t="s">
        <v>15</v>
      </c>
      <c r="P47" s="83">
        <v>0</v>
      </c>
      <c r="Q47" s="83">
        <v>0</v>
      </c>
      <c r="R47" s="198">
        <v>0</v>
      </c>
    </row>
    <row r="48" spans="1:18" ht="14.25" customHeight="1">
      <c r="A48" s="197" t="s">
        <v>50</v>
      </c>
      <c r="B48" s="192" t="s">
        <v>171</v>
      </c>
      <c r="C48" s="192" t="s">
        <v>172</v>
      </c>
      <c r="D48" s="84" t="s">
        <v>154</v>
      </c>
      <c r="E48" s="127">
        <v>0</v>
      </c>
      <c r="F48" s="83">
        <v>0</v>
      </c>
      <c r="G48" s="83">
        <v>0</v>
      </c>
      <c r="H48" s="82" t="s">
        <v>15</v>
      </c>
      <c r="I48" s="83">
        <v>0</v>
      </c>
      <c r="J48" s="82" t="s">
        <v>15</v>
      </c>
      <c r="K48" s="83">
        <v>0</v>
      </c>
      <c r="L48" s="83">
        <v>0</v>
      </c>
      <c r="M48" s="82" t="s">
        <v>15</v>
      </c>
      <c r="N48" s="83">
        <v>0</v>
      </c>
      <c r="O48" s="82" t="s">
        <v>15</v>
      </c>
      <c r="P48" s="83">
        <v>0</v>
      </c>
      <c r="Q48" s="83">
        <v>0</v>
      </c>
      <c r="R48" s="198">
        <v>0</v>
      </c>
    </row>
    <row r="49" spans="1:18" ht="14.25" customHeight="1" thickBot="1">
      <c r="A49" s="199" t="s">
        <v>50</v>
      </c>
      <c r="B49" s="200" t="s">
        <v>171</v>
      </c>
      <c r="C49" s="200" t="s">
        <v>172</v>
      </c>
      <c r="D49" s="81" t="s">
        <v>60</v>
      </c>
      <c r="E49" s="128">
        <v>0</v>
      </c>
      <c r="F49" s="80">
        <v>0</v>
      </c>
      <c r="G49" s="80">
        <v>37500</v>
      </c>
      <c r="H49" s="201">
        <v>-1</v>
      </c>
      <c r="I49" s="80">
        <v>0</v>
      </c>
      <c r="J49" s="201" t="s">
        <v>15</v>
      </c>
      <c r="K49" s="80">
        <v>1150187.1000000001</v>
      </c>
      <c r="L49" s="80">
        <v>1247500</v>
      </c>
      <c r="M49" s="201">
        <v>-0.08</v>
      </c>
      <c r="N49" s="80">
        <v>0</v>
      </c>
      <c r="O49" s="201" t="s">
        <v>15</v>
      </c>
      <c r="P49" s="80">
        <v>9473.6842105263095</v>
      </c>
      <c r="Q49" s="80">
        <v>0</v>
      </c>
      <c r="R49" s="202">
        <v>0</v>
      </c>
    </row>
    <row r="50" spans="1:18" ht="14.25" customHeight="1">
      <c r="A50" s="193" t="s">
        <v>50</v>
      </c>
      <c r="B50" s="194" t="s">
        <v>192</v>
      </c>
      <c r="C50" s="194" t="s">
        <v>193</v>
      </c>
      <c r="D50" s="86" t="s">
        <v>49</v>
      </c>
      <c r="E50" s="126">
        <v>94.32</v>
      </c>
      <c r="F50" s="85">
        <v>1708.5699920654299</v>
      </c>
      <c r="G50" s="85">
        <v>0</v>
      </c>
      <c r="H50" s="195" t="s">
        <v>15</v>
      </c>
      <c r="I50" s="85">
        <v>0</v>
      </c>
      <c r="J50" s="195" t="s">
        <v>15</v>
      </c>
      <c r="K50" s="85">
        <v>1897.2099914550799</v>
      </c>
      <c r="L50" s="85">
        <v>0</v>
      </c>
      <c r="M50" s="195" t="s">
        <v>15</v>
      </c>
      <c r="N50" s="85">
        <v>0</v>
      </c>
      <c r="O50" s="195" t="s">
        <v>15</v>
      </c>
      <c r="P50" s="85">
        <v>-89.924736424496302</v>
      </c>
      <c r="Q50" s="85">
        <v>2448.3425366666702</v>
      </c>
      <c r="R50" s="196">
        <v>0</v>
      </c>
    </row>
    <row r="51" spans="1:18" ht="14.25" customHeight="1">
      <c r="A51" s="197" t="s">
        <v>50</v>
      </c>
      <c r="B51" s="192" t="s">
        <v>192</v>
      </c>
      <c r="C51" s="192" t="s">
        <v>193</v>
      </c>
      <c r="D51" s="84" t="s">
        <v>191</v>
      </c>
      <c r="E51" s="127">
        <v>296.45</v>
      </c>
      <c r="F51" s="83">
        <v>536.03000640869095</v>
      </c>
      <c r="G51" s="83">
        <v>0</v>
      </c>
      <c r="H51" s="82" t="s">
        <v>15</v>
      </c>
      <c r="I51" s="83">
        <v>0</v>
      </c>
      <c r="J51" s="82" t="s">
        <v>15</v>
      </c>
      <c r="K51" s="83">
        <v>656.43000793456997</v>
      </c>
      <c r="L51" s="83">
        <v>0</v>
      </c>
      <c r="M51" s="82" t="s">
        <v>15</v>
      </c>
      <c r="N51" s="83">
        <v>0</v>
      </c>
      <c r="O51" s="82" t="s">
        <v>15</v>
      </c>
      <c r="P51" s="83">
        <v>-28.212105600457399</v>
      </c>
      <c r="Q51" s="83">
        <v>1840.9141666666701</v>
      </c>
      <c r="R51" s="198">
        <v>0</v>
      </c>
    </row>
    <row r="52" spans="1:18" ht="14.25" customHeight="1">
      <c r="A52" s="197" t="s">
        <v>50</v>
      </c>
      <c r="B52" s="192" t="s">
        <v>192</v>
      </c>
      <c r="C52" s="192" t="s">
        <v>193</v>
      </c>
      <c r="D52" s="84" t="s">
        <v>47</v>
      </c>
      <c r="E52" s="127">
        <v>-52.33</v>
      </c>
      <c r="F52" s="83">
        <v>485.030004501343</v>
      </c>
      <c r="G52" s="83">
        <v>0</v>
      </c>
      <c r="H52" s="82" t="s">
        <v>15</v>
      </c>
      <c r="I52" s="83">
        <v>0</v>
      </c>
      <c r="J52" s="82" t="s">
        <v>15</v>
      </c>
      <c r="K52" s="83">
        <v>485.030004501343</v>
      </c>
      <c r="L52" s="83">
        <v>0</v>
      </c>
      <c r="M52" s="82" t="s">
        <v>15</v>
      </c>
      <c r="N52" s="83">
        <v>0</v>
      </c>
      <c r="O52" s="82" t="s">
        <v>15</v>
      </c>
      <c r="P52" s="83">
        <v>-25.527894973754901</v>
      </c>
      <c r="Q52" s="83">
        <v>2128.5517725</v>
      </c>
      <c r="R52" s="198">
        <v>0</v>
      </c>
    </row>
    <row r="53" spans="1:18" ht="14.25" customHeight="1">
      <c r="A53" s="197" t="s">
        <v>50</v>
      </c>
      <c r="B53" s="192" t="s">
        <v>192</v>
      </c>
      <c r="C53" s="192" t="s">
        <v>193</v>
      </c>
      <c r="D53" s="84" t="s">
        <v>62</v>
      </c>
      <c r="E53" s="127">
        <v>2834.77</v>
      </c>
      <c r="F53" s="83">
        <v>9246.7999954223596</v>
      </c>
      <c r="G53" s="83">
        <v>20833.333333333299</v>
      </c>
      <c r="H53" s="82">
        <v>-0.56000000000000005</v>
      </c>
      <c r="I53" s="83">
        <v>0</v>
      </c>
      <c r="J53" s="82" t="s">
        <v>15</v>
      </c>
      <c r="K53" s="83">
        <v>99027.739458084106</v>
      </c>
      <c r="L53" s="83">
        <v>180833.33333333299</v>
      </c>
      <c r="M53" s="82">
        <v>-0.45</v>
      </c>
      <c r="N53" s="83">
        <v>0</v>
      </c>
      <c r="O53" s="82" t="s">
        <v>15</v>
      </c>
      <c r="P53" s="83">
        <v>4776.4842107672403</v>
      </c>
      <c r="Q53" s="83">
        <v>6305.1012499999997</v>
      </c>
      <c r="R53" s="198">
        <v>0</v>
      </c>
    </row>
    <row r="54" spans="1:18" ht="14.25" customHeight="1">
      <c r="A54" s="197" t="s">
        <v>50</v>
      </c>
      <c r="B54" s="192" t="s">
        <v>192</v>
      </c>
      <c r="C54" s="192" t="s">
        <v>193</v>
      </c>
      <c r="D54" s="84" t="s">
        <v>6</v>
      </c>
      <c r="E54" s="127">
        <v>497.84</v>
      </c>
      <c r="F54" s="83">
        <v>5124.4400329589798</v>
      </c>
      <c r="G54" s="83">
        <v>4166.6666666666697</v>
      </c>
      <c r="H54" s="82">
        <v>0.23</v>
      </c>
      <c r="I54" s="83">
        <v>0</v>
      </c>
      <c r="J54" s="82" t="s">
        <v>15</v>
      </c>
      <c r="K54" s="83">
        <v>38303.210069656401</v>
      </c>
      <c r="L54" s="83">
        <v>74166.666666666701</v>
      </c>
      <c r="M54" s="82">
        <v>-0.48</v>
      </c>
      <c r="N54" s="83">
        <v>0</v>
      </c>
      <c r="O54" s="82" t="s">
        <v>15</v>
      </c>
      <c r="P54" s="83">
        <v>782.92420879163296</v>
      </c>
      <c r="Q54" s="83">
        <v>3800.6374999999998</v>
      </c>
      <c r="R54" s="198">
        <v>0</v>
      </c>
    </row>
    <row r="55" spans="1:18" ht="14.25" customHeight="1">
      <c r="A55" s="197" t="s">
        <v>50</v>
      </c>
      <c r="B55" s="192" t="s">
        <v>192</v>
      </c>
      <c r="C55" s="192" t="s">
        <v>193</v>
      </c>
      <c r="D55" s="84" t="s">
        <v>61</v>
      </c>
      <c r="E55" s="127">
        <v>701.33</v>
      </c>
      <c r="F55" s="83">
        <v>1446.50001525879</v>
      </c>
      <c r="G55" s="83">
        <v>4166.6666666666697</v>
      </c>
      <c r="H55" s="82">
        <v>-0.65</v>
      </c>
      <c r="I55" s="83">
        <v>0</v>
      </c>
      <c r="J55" s="82" t="s">
        <v>15</v>
      </c>
      <c r="K55" s="83">
        <v>16607.1298828125</v>
      </c>
      <c r="L55" s="83">
        <v>89166.666666666701</v>
      </c>
      <c r="M55" s="82">
        <v>-0.81</v>
      </c>
      <c r="N55" s="83">
        <v>0</v>
      </c>
      <c r="O55" s="82" t="s">
        <v>15</v>
      </c>
      <c r="P55" s="83">
        <v>976.49999919690595</v>
      </c>
      <c r="Q55" s="83">
        <v>2665.1365474999998</v>
      </c>
      <c r="R55" s="198">
        <v>0</v>
      </c>
    </row>
    <row r="56" spans="1:18" ht="14.25" customHeight="1">
      <c r="A56" s="197" t="s">
        <v>50</v>
      </c>
      <c r="B56" s="192" t="s">
        <v>192</v>
      </c>
      <c r="C56" s="192" t="s">
        <v>193</v>
      </c>
      <c r="D56" s="84" t="s">
        <v>154</v>
      </c>
      <c r="E56" s="127">
        <v>0</v>
      </c>
      <c r="F56" s="83">
        <v>0</v>
      </c>
      <c r="G56" s="83">
        <v>0</v>
      </c>
      <c r="H56" s="82" t="s">
        <v>15</v>
      </c>
      <c r="I56" s="83">
        <v>0</v>
      </c>
      <c r="J56" s="82" t="s">
        <v>15</v>
      </c>
      <c r="K56" s="83">
        <v>0</v>
      </c>
      <c r="L56" s="83">
        <v>0</v>
      </c>
      <c r="M56" s="82" t="s">
        <v>15</v>
      </c>
      <c r="N56" s="83">
        <v>0</v>
      </c>
      <c r="O56" s="82" t="s">
        <v>15</v>
      </c>
      <c r="P56" s="83">
        <v>0</v>
      </c>
      <c r="Q56" s="83">
        <v>0</v>
      </c>
      <c r="R56" s="198">
        <v>0</v>
      </c>
    </row>
    <row r="57" spans="1:18" ht="14.25" customHeight="1" thickBot="1">
      <c r="A57" s="199" t="s">
        <v>50</v>
      </c>
      <c r="B57" s="200" t="s">
        <v>192</v>
      </c>
      <c r="C57" s="200" t="s">
        <v>193</v>
      </c>
      <c r="D57" s="81" t="s">
        <v>60</v>
      </c>
      <c r="E57" s="128">
        <v>8960.0999999999894</v>
      </c>
      <c r="F57" s="80">
        <v>31307.39</v>
      </c>
      <c r="G57" s="80">
        <v>37500</v>
      </c>
      <c r="H57" s="201">
        <v>-0.17</v>
      </c>
      <c r="I57" s="80">
        <v>0</v>
      </c>
      <c r="J57" s="201" t="s">
        <v>15</v>
      </c>
      <c r="K57" s="80">
        <v>256458.38</v>
      </c>
      <c r="L57" s="80">
        <v>437500</v>
      </c>
      <c r="M57" s="201">
        <v>-0.41</v>
      </c>
      <c r="N57" s="80">
        <v>0</v>
      </c>
      <c r="O57" s="201" t="s">
        <v>15</v>
      </c>
      <c r="P57" s="80">
        <v>7825.9268421052602</v>
      </c>
      <c r="Q57" s="80">
        <v>28503.026373333301</v>
      </c>
      <c r="R57" s="202">
        <v>0</v>
      </c>
    </row>
    <row r="58" spans="1:18" ht="14.25" customHeight="1">
      <c r="A58" s="193" t="s">
        <v>50</v>
      </c>
      <c r="B58" s="194" t="s">
        <v>120</v>
      </c>
      <c r="C58" s="194" t="s">
        <v>120</v>
      </c>
      <c r="D58" s="86" t="s">
        <v>49</v>
      </c>
      <c r="E58" s="126">
        <v>0</v>
      </c>
      <c r="F58" s="85">
        <v>11833.830078125</v>
      </c>
      <c r="G58" s="85">
        <v>0</v>
      </c>
      <c r="H58" s="195" t="s">
        <v>15</v>
      </c>
      <c r="I58" s="85">
        <v>120</v>
      </c>
      <c r="J58" s="195" t="s">
        <v>209</v>
      </c>
      <c r="K58" s="85">
        <v>80610.688697814898</v>
      </c>
      <c r="L58" s="85">
        <v>0</v>
      </c>
      <c r="M58" s="195" t="s">
        <v>15</v>
      </c>
      <c r="N58" s="85">
        <v>51885.650276660897</v>
      </c>
      <c r="O58" s="195">
        <v>0.55000000000000004</v>
      </c>
      <c r="P58" s="85">
        <v>-622.83316200657896</v>
      </c>
      <c r="Q58" s="85">
        <v>0</v>
      </c>
      <c r="R58" s="196">
        <v>0</v>
      </c>
    </row>
    <row r="59" spans="1:18" ht="14.25" customHeight="1">
      <c r="A59" s="197" t="s">
        <v>50</v>
      </c>
      <c r="B59" s="192" t="s">
        <v>120</v>
      </c>
      <c r="C59" s="192" t="s">
        <v>120</v>
      </c>
      <c r="D59" s="84" t="s">
        <v>191</v>
      </c>
      <c r="E59" s="127">
        <v>0</v>
      </c>
      <c r="F59" s="83">
        <v>19349.580078125</v>
      </c>
      <c r="G59" s="83">
        <v>0</v>
      </c>
      <c r="H59" s="82" t="s">
        <v>15</v>
      </c>
      <c r="I59" s="83">
        <v>33546.55078125</v>
      </c>
      <c r="J59" s="82">
        <v>-0.42</v>
      </c>
      <c r="K59" s="83">
        <v>70174.839923381805</v>
      </c>
      <c r="L59" s="83">
        <v>0</v>
      </c>
      <c r="M59" s="82" t="s">
        <v>15</v>
      </c>
      <c r="N59" s="83">
        <v>116700.53020668001</v>
      </c>
      <c r="O59" s="82">
        <v>-0.4</v>
      </c>
      <c r="P59" s="83">
        <v>-1018.3989514802601</v>
      </c>
      <c r="Q59" s="83">
        <v>11058</v>
      </c>
      <c r="R59" s="198">
        <v>0</v>
      </c>
    </row>
    <row r="60" spans="1:18" ht="14.25" customHeight="1">
      <c r="A60" s="197" t="s">
        <v>50</v>
      </c>
      <c r="B60" s="192" t="s">
        <v>120</v>
      </c>
      <c r="C60" s="192" t="s">
        <v>120</v>
      </c>
      <c r="D60" s="84" t="s">
        <v>47</v>
      </c>
      <c r="E60" s="127">
        <v>0</v>
      </c>
      <c r="F60" s="83">
        <v>0</v>
      </c>
      <c r="G60" s="83">
        <v>0</v>
      </c>
      <c r="H60" s="82" t="s">
        <v>15</v>
      </c>
      <c r="I60" s="83">
        <v>0</v>
      </c>
      <c r="J60" s="82" t="s">
        <v>15</v>
      </c>
      <c r="K60" s="83">
        <v>69743.209983348803</v>
      </c>
      <c r="L60" s="83">
        <v>0</v>
      </c>
      <c r="M60" s="82" t="s">
        <v>15</v>
      </c>
      <c r="N60" s="83">
        <v>168774.04966831201</v>
      </c>
      <c r="O60" s="82">
        <v>-0.59</v>
      </c>
      <c r="P60" s="83">
        <v>0</v>
      </c>
      <c r="Q60" s="83">
        <v>0</v>
      </c>
      <c r="R60" s="198">
        <v>0</v>
      </c>
    </row>
    <row r="61" spans="1:18" ht="14.25" customHeight="1">
      <c r="A61" s="197" t="s">
        <v>50</v>
      </c>
      <c r="B61" s="192" t="s">
        <v>120</v>
      </c>
      <c r="C61" s="192" t="s">
        <v>120</v>
      </c>
      <c r="D61" s="84" t="s">
        <v>62</v>
      </c>
      <c r="E61" s="127">
        <v>0</v>
      </c>
      <c r="F61" s="83">
        <v>4166.669921875</v>
      </c>
      <c r="G61" s="83">
        <v>0</v>
      </c>
      <c r="H61" s="82" t="s">
        <v>15</v>
      </c>
      <c r="I61" s="83">
        <v>21366.839998245199</v>
      </c>
      <c r="J61" s="82">
        <v>-0.8</v>
      </c>
      <c r="K61" s="83">
        <v>441682.56859684002</v>
      </c>
      <c r="L61" s="83">
        <v>0</v>
      </c>
      <c r="M61" s="82" t="s">
        <v>15</v>
      </c>
      <c r="N61" s="83">
        <v>66016.260063171401</v>
      </c>
      <c r="O61" s="82">
        <v>5.69</v>
      </c>
      <c r="P61" s="83">
        <v>-219.298416940789</v>
      </c>
      <c r="Q61" s="83">
        <v>0</v>
      </c>
      <c r="R61" s="198">
        <v>0</v>
      </c>
    </row>
    <row r="62" spans="1:18" ht="14.25" customHeight="1">
      <c r="A62" s="197" t="s">
        <v>50</v>
      </c>
      <c r="B62" s="192" t="s">
        <v>120</v>
      </c>
      <c r="C62" s="192" t="s">
        <v>120</v>
      </c>
      <c r="D62" s="84" t="s">
        <v>6</v>
      </c>
      <c r="E62" s="127">
        <v>0</v>
      </c>
      <c r="F62" s="83">
        <v>6843.2001953125</v>
      </c>
      <c r="G62" s="83">
        <v>0</v>
      </c>
      <c r="H62" s="82" t="s">
        <v>15</v>
      </c>
      <c r="I62" s="83">
        <v>69038.849960804</v>
      </c>
      <c r="J62" s="82">
        <v>-0.9</v>
      </c>
      <c r="K62" s="83">
        <v>128161.779430389</v>
      </c>
      <c r="L62" s="83">
        <v>0</v>
      </c>
      <c r="M62" s="82" t="s">
        <v>15</v>
      </c>
      <c r="N62" s="83">
        <v>251467.48008728001</v>
      </c>
      <c r="O62" s="82">
        <v>-0.49</v>
      </c>
      <c r="P62" s="83">
        <v>-360.16843133223699</v>
      </c>
      <c r="Q62" s="83">
        <v>0</v>
      </c>
      <c r="R62" s="198">
        <v>0</v>
      </c>
    </row>
    <row r="63" spans="1:18" ht="14.25" customHeight="1">
      <c r="A63" s="197" t="s">
        <v>50</v>
      </c>
      <c r="B63" s="192" t="s">
        <v>120</v>
      </c>
      <c r="C63" s="192" t="s">
        <v>120</v>
      </c>
      <c r="D63" s="84" t="s">
        <v>61</v>
      </c>
      <c r="E63" s="127">
        <v>0</v>
      </c>
      <c r="F63" s="83">
        <v>0</v>
      </c>
      <c r="G63" s="83">
        <v>0</v>
      </c>
      <c r="H63" s="82" t="s">
        <v>15</v>
      </c>
      <c r="I63" s="83">
        <v>1249.7400207519499</v>
      </c>
      <c r="J63" s="82">
        <v>-1</v>
      </c>
      <c r="K63" s="83">
        <v>11491.320037841801</v>
      </c>
      <c r="L63" s="83">
        <v>0</v>
      </c>
      <c r="M63" s="82" t="s">
        <v>15</v>
      </c>
      <c r="N63" s="83">
        <v>11142.650121688799</v>
      </c>
      <c r="O63" s="82">
        <v>0.03</v>
      </c>
      <c r="P63" s="83">
        <v>0</v>
      </c>
      <c r="Q63" s="83">
        <v>0</v>
      </c>
      <c r="R63" s="198">
        <v>0</v>
      </c>
    </row>
    <row r="64" spans="1:18" ht="14.25" customHeight="1">
      <c r="A64" s="197" t="s">
        <v>50</v>
      </c>
      <c r="B64" s="192" t="s">
        <v>120</v>
      </c>
      <c r="C64" s="192" t="s">
        <v>120</v>
      </c>
      <c r="D64" s="84" t="s">
        <v>154</v>
      </c>
      <c r="E64" s="127">
        <v>0</v>
      </c>
      <c r="F64" s="83">
        <v>0</v>
      </c>
      <c r="G64" s="83">
        <v>0</v>
      </c>
      <c r="H64" s="82" t="s">
        <v>15</v>
      </c>
      <c r="I64" s="83">
        <v>0</v>
      </c>
      <c r="J64" s="82" t="s">
        <v>15</v>
      </c>
      <c r="K64" s="83">
        <v>0</v>
      </c>
      <c r="L64" s="83">
        <v>0</v>
      </c>
      <c r="M64" s="82" t="s">
        <v>15</v>
      </c>
      <c r="N64" s="83">
        <v>0</v>
      </c>
      <c r="O64" s="82" t="s">
        <v>15</v>
      </c>
      <c r="P64" s="83">
        <v>0</v>
      </c>
      <c r="Q64" s="83">
        <v>0</v>
      </c>
      <c r="R64" s="198">
        <v>0</v>
      </c>
    </row>
    <row r="65" spans="1:18" ht="14.25" customHeight="1" thickBot="1">
      <c r="A65" s="199" t="s">
        <v>50</v>
      </c>
      <c r="B65" s="200" t="s">
        <v>120</v>
      </c>
      <c r="C65" s="200" t="s">
        <v>120</v>
      </c>
      <c r="D65" s="81" t="s">
        <v>60</v>
      </c>
      <c r="E65" s="128">
        <v>0</v>
      </c>
      <c r="F65" s="80">
        <v>95164.93</v>
      </c>
      <c r="G65" s="80">
        <v>0</v>
      </c>
      <c r="H65" s="201" t="s">
        <v>15</v>
      </c>
      <c r="I65" s="80">
        <v>474563.34</v>
      </c>
      <c r="J65" s="201">
        <v>-0.8</v>
      </c>
      <c r="K65" s="80">
        <v>2595019.7599999998</v>
      </c>
      <c r="L65" s="80">
        <v>0</v>
      </c>
      <c r="M65" s="201" t="s">
        <v>15</v>
      </c>
      <c r="N65" s="80">
        <v>2446914.61</v>
      </c>
      <c r="O65" s="201">
        <v>0.06</v>
      </c>
      <c r="P65" s="80">
        <v>-5008.6805263157903</v>
      </c>
      <c r="Q65" s="80">
        <v>65546.333333333299</v>
      </c>
      <c r="R65" s="202">
        <v>0</v>
      </c>
    </row>
    <row r="66" spans="1:18" ht="14.25" customHeight="1">
      <c r="A66" s="193" t="s">
        <v>50</v>
      </c>
      <c r="B66" s="194" t="s">
        <v>107</v>
      </c>
      <c r="C66" s="194" t="s">
        <v>153</v>
      </c>
      <c r="D66" s="86" t="s">
        <v>49</v>
      </c>
      <c r="E66" s="126">
        <v>1410.56</v>
      </c>
      <c r="F66" s="85">
        <v>4685.1300201415997</v>
      </c>
      <c r="G66" s="85">
        <v>9375</v>
      </c>
      <c r="H66" s="195">
        <v>-0.5</v>
      </c>
      <c r="I66" s="85">
        <v>40070.000488281301</v>
      </c>
      <c r="J66" s="195">
        <v>-0.88</v>
      </c>
      <c r="K66" s="85">
        <v>306923.92162322998</v>
      </c>
      <c r="L66" s="85">
        <v>261375</v>
      </c>
      <c r="M66" s="195">
        <v>0.17</v>
      </c>
      <c r="N66" s="85">
        <v>271247.76008605998</v>
      </c>
      <c r="O66" s="195">
        <v>0.13</v>
      </c>
      <c r="P66" s="85">
        <v>2121.8352620978098</v>
      </c>
      <c r="Q66" s="85">
        <v>4830.6839166666696</v>
      </c>
      <c r="R66" s="196">
        <v>0</v>
      </c>
    </row>
    <row r="67" spans="1:18" ht="14.25" customHeight="1">
      <c r="A67" s="197" t="s">
        <v>50</v>
      </c>
      <c r="B67" s="192" t="s">
        <v>107</v>
      </c>
      <c r="C67" s="192" t="s">
        <v>153</v>
      </c>
      <c r="D67" s="84" t="s">
        <v>191</v>
      </c>
      <c r="E67" s="127">
        <v>272.24</v>
      </c>
      <c r="F67" s="83">
        <v>705.82998847961403</v>
      </c>
      <c r="G67" s="83">
        <v>2500</v>
      </c>
      <c r="H67" s="82">
        <v>-0.72</v>
      </c>
      <c r="I67" s="83">
        <v>9075.0599365234393</v>
      </c>
      <c r="J67" s="82">
        <v>-0.92</v>
      </c>
      <c r="K67" s="83">
        <v>44073.550199508703</v>
      </c>
      <c r="L67" s="83">
        <v>86500</v>
      </c>
      <c r="M67" s="82">
        <v>-0.49</v>
      </c>
      <c r="N67" s="83">
        <v>47811.999464034998</v>
      </c>
      <c r="O67" s="82">
        <v>-0.08</v>
      </c>
      <c r="P67" s="83">
        <v>594.43000060633597</v>
      </c>
      <c r="Q67" s="83">
        <v>534.41666666666697</v>
      </c>
      <c r="R67" s="198">
        <v>0</v>
      </c>
    </row>
    <row r="68" spans="1:18" ht="14.25" customHeight="1">
      <c r="A68" s="197" t="s">
        <v>50</v>
      </c>
      <c r="B68" s="192" t="s">
        <v>107</v>
      </c>
      <c r="C68" s="192" t="s">
        <v>153</v>
      </c>
      <c r="D68" s="84" t="s">
        <v>47</v>
      </c>
      <c r="E68" s="127">
        <v>722.58</v>
      </c>
      <c r="F68" s="83">
        <v>1294.25999069214</v>
      </c>
      <c r="G68" s="83">
        <v>5000</v>
      </c>
      <c r="H68" s="82">
        <v>-0.74</v>
      </c>
      <c r="I68" s="83">
        <v>13433.7700462341</v>
      </c>
      <c r="J68" s="82">
        <v>-0.9</v>
      </c>
      <c r="K68" s="83">
        <v>233649.29187774699</v>
      </c>
      <c r="L68" s="83">
        <v>243000</v>
      </c>
      <c r="M68" s="82">
        <v>-0.04</v>
      </c>
      <c r="N68" s="83">
        <v>214803.47140884399</v>
      </c>
      <c r="O68" s="82">
        <v>0.09</v>
      </c>
      <c r="P68" s="83">
        <v>1195.0389478583099</v>
      </c>
      <c r="Q68" s="83">
        <v>-82.331332499999903</v>
      </c>
      <c r="R68" s="198">
        <v>0</v>
      </c>
    </row>
    <row r="69" spans="1:18" ht="14.25" customHeight="1">
      <c r="A69" s="197" t="s">
        <v>50</v>
      </c>
      <c r="B69" s="192" t="s">
        <v>107</v>
      </c>
      <c r="C69" s="192" t="s">
        <v>153</v>
      </c>
      <c r="D69" s="84" t="s">
        <v>62</v>
      </c>
      <c r="E69" s="127">
        <v>0</v>
      </c>
      <c r="F69" s="83">
        <v>0</v>
      </c>
      <c r="G69" s="83">
        <v>0</v>
      </c>
      <c r="H69" s="82" t="s">
        <v>15</v>
      </c>
      <c r="I69" s="83">
        <v>1413.0399856567401</v>
      </c>
      <c r="J69" s="82">
        <v>-1</v>
      </c>
      <c r="K69" s="83">
        <v>5617.5699844360397</v>
      </c>
      <c r="L69" s="83">
        <v>0</v>
      </c>
      <c r="M69" s="82" t="s">
        <v>15</v>
      </c>
      <c r="N69" s="83">
        <v>1413.0399856567401</v>
      </c>
      <c r="O69" s="82">
        <v>2.98</v>
      </c>
      <c r="P69" s="83">
        <v>0</v>
      </c>
      <c r="Q69" s="83">
        <v>0</v>
      </c>
      <c r="R69" s="198">
        <v>0</v>
      </c>
    </row>
    <row r="70" spans="1:18" ht="14.25" customHeight="1">
      <c r="A70" s="197" t="s">
        <v>50</v>
      </c>
      <c r="B70" s="192" t="s">
        <v>107</v>
      </c>
      <c r="C70" s="192" t="s">
        <v>153</v>
      </c>
      <c r="D70" s="84" t="s">
        <v>6</v>
      </c>
      <c r="E70" s="127">
        <v>0</v>
      </c>
      <c r="F70" s="83">
        <v>0</v>
      </c>
      <c r="G70" s="83">
        <v>0</v>
      </c>
      <c r="H70" s="82" t="s">
        <v>15</v>
      </c>
      <c r="I70" s="83">
        <v>796.75</v>
      </c>
      <c r="J70" s="82">
        <v>-1</v>
      </c>
      <c r="K70" s="83">
        <v>2421.5</v>
      </c>
      <c r="L70" s="83">
        <v>0</v>
      </c>
      <c r="M70" s="82" t="s">
        <v>15</v>
      </c>
      <c r="N70" s="83">
        <v>796.75</v>
      </c>
      <c r="O70" s="82">
        <v>2.04</v>
      </c>
      <c r="P70" s="83">
        <v>0</v>
      </c>
      <c r="Q70" s="83">
        <v>0</v>
      </c>
      <c r="R70" s="198">
        <v>0</v>
      </c>
    </row>
    <row r="71" spans="1:18" ht="14.25" customHeight="1">
      <c r="A71" s="197" t="s">
        <v>50</v>
      </c>
      <c r="B71" s="192" t="s">
        <v>107</v>
      </c>
      <c r="C71" s="192" t="s">
        <v>153</v>
      </c>
      <c r="D71" s="84" t="s">
        <v>61</v>
      </c>
      <c r="E71" s="127">
        <v>0</v>
      </c>
      <c r="F71" s="83">
        <v>0</v>
      </c>
      <c r="G71" s="83">
        <v>0</v>
      </c>
      <c r="H71" s="82" t="s">
        <v>15</v>
      </c>
      <c r="I71" s="83">
        <v>0</v>
      </c>
      <c r="J71" s="82" t="s">
        <v>15</v>
      </c>
      <c r="K71" s="83">
        <v>55.330001831054702</v>
      </c>
      <c r="L71" s="83">
        <v>0</v>
      </c>
      <c r="M71" s="82" t="s">
        <v>15</v>
      </c>
      <c r="N71" s="83">
        <v>0</v>
      </c>
      <c r="O71" s="82" t="s">
        <v>15</v>
      </c>
      <c r="P71" s="83">
        <v>0</v>
      </c>
      <c r="Q71" s="83">
        <v>0</v>
      </c>
      <c r="R71" s="198">
        <v>0</v>
      </c>
    </row>
    <row r="72" spans="1:18" ht="14.25" customHeight="1">
      <c r="A72" s="197" t="s">
        <v>50</v>
      </c>
      <c r="B72" s="192" t="s">
        <v>107</v>
      </c>
      <c r="C72" s="192" t="s">
        <v>153</v>
      </c>
      <c r="D72" s="84" t="s">
        <v>154</v>
      </c>
      <c r="E72" s="127">
        <v>0</v>
      </c>
      <c r="F72" s="83">
        <v>0</v>
      </c>
      <c r="G72" s="83">
        <v>0</v>
      </c>
      <c r="H72" s="82" t="s">
        <v>15</v>
      </c>
      <c r="I72" s="83">
        <v>0</v>
      </c>
      <c r="J72" s="82" t="s">
        <v>15</v>
      </c>
      <c r="K72" s="83">
        <v>0</v>
      </c>
      <c r="L72" s="83">
        <v>0</v>
      </c>
      <c r="M72" s="82" t="s">
        <v>15</v>
      </c>
      <c r="N72" s="83">
        <v>0</v>
      </c>
      <c r="O72" s="82" t="s">
        <v>15</v>
      </c>
      <c r="P72" s="83">
        <v>0</v>
      </c>
      <c r="Q72" s="83">
        <v>0</v>
      </c>
      <c r="R72" s="198">
        <v>0</v>
      </c>
    </row>
    <row r="73" spans="1:18" ht="14.25" customHeight="1" thickBot="1">
      <c r="A73" s="199" t="s">
        <v>50</v>
      </c>
      <c r="B73" s="200" t="s">
        <v>107</v>
      </c>
      <c r="C73" s="200" t="s">
        <v>153</v>
      </c>
      <c r="D73" s="81" t="s">
        <v>60</v>
      </c>
      <c r="E73" s="128">
        <v>3743.14</v>
      </c>
      <c r="F73" s="80">
        <v>11264.3</v>
      </c>
      <c r="G73" s="80">
        <v>27083.333333333299</v>
      </c>
      <c r="H73" s="201">
        <v>-0.57999999999999996</v>
      </c>
      <c r="I73" s="80">
        <v>97920.2</v>
      </c>
      <c r="J73" s="201">
        <v>-0.88</v>
      </c>
      <c r="K73" s="80">
        <v>842195.7</v>
      </c>
      <c r="L73" s="80">
        <v>802083.33333333302</v>
      </c>
      <c r="M73" s="201">
        <v>0.05</v>
      </c>
      <c r="N73" s="80">
        <v>792555.65000000095</v>
      </c>
      <c r="O73" s="201">
        <v>0.06</v>
      </c>
      <c r="P73" s="80">
        <v>6249.2473684210499</v>
      </c>
      <c r="Q73" s="80">
        <v>10254.7565841667</v>
      </c>
      <c r="R73" s="202">
        <v>0</v>
      </c>
    </row>
    <row r="74" spans="1:18" ht="14.25" customHeight="1">
      <c r="A74" s="193" t="s">
        <v>50</v>
      </c>
      <c r="B74" s="194" t="s">
        <v>108</v>
      </c>
      <c r="C74" s="194" t="s">
        <v>142</v>
      </c>
      <c r="D74" s="86" t="s">
        <v>49</v>
      </c>
      <c r="E74" s="126">
        <v>0</v>
      </c>
      <c r="F74" s="85">
        <v>0</v>
      </c>
      <c r="G74" s="85">
        <v>0</v>
      </c>
      <c r="H74" s="195" t="s">
        <v>15</v>
      </c>
      <c r="I74" s="85">
        <v>0</v>
      </c>
      <c r="J74" s="195" t="s">
        <v>15</v>
      </c>
      <c r="K74" s="85">
        <v>2464.99000549316</v>
      </c>
      <c r="L74" s="85">
        <v>0</v>
      </c>
      <c r="M74" s="195" t="s">
        <v>15</v>
      </c>
      <c r="N74" s="85">
        <v>5289.7300491332999</v>
      </c>
      <c r="O74" s="195">
        <v>-0.53</v>
      </c>
      <c r="P74" s="85">
        <v>0</v>
      </c>
      <c r="Q74" s="85">
        <v>0</v>
      </c>
      <c r="R74" s="196">
        <v>0</v>
      </c>
    </row>
    <row r="75" spans="1:18" ht="14.25" customHeight="1">
      <c r="A75" s="197" t="s">
        <v>50</v>
      </c>
      <c r="B75" s="192" t="s">
        <v>108</v>
      </c>
      <c r="C75" s="192" t="s">
        <v>142</v>
      </c>
      <c r="D75" s="84" t="s">
        <v>191</v>
      </c>
      <c r="E75" s="127">
        <v>0</v>
      </c>
      <c r="F75" s="83">
        <v>0</v>
      </c>
      <c r="G75" s="83">
        <v>0</v>
      </c>
      <c r="H75" s="82" t="s">
        <v>15</v>
      </c>
      <c r="I75" s="83">
        <v>0</v>
      </c>
      <c r="J75" s="82" t="s">
        <v>15</v>
      </c>
      <c r="K75" s="83">
        <v>1613.3000030517601</v>
      </c>
      <c r="L75" s="83">
        <v>0</v>
      </c>
      <c r="M75" s="82" t="s">
        <v>15</v>
      </c>
      <c r="N75" s="83">
        <v>998.22998237609897</v>
      </c>
      <c r="O75" s="82">
        <v>0.62</v>
      </c>
      <c r="P75" s="83">
        <v>0</v>
      </c>
      <c r="Q75" s="83">
        <v>0</v>
      </c>
      <c r="R75" s="198">
        <v>0</v>
      </c>
    </row>
    <row r="76" spans="1:18" ht="14.25" customHeight="1">
      <c r="A76" s="197" t="s">
        <v>50</v>
      </c>
      <c r="B76" s="192" t="s">
        <v>108</v>
      </c>
      <c r="C76" s="192" t="s">
        <v>142</v>
      </c>
      <c r="D76" s="84" t="s">
        <v>47</v>
      </c>
      <c r="E76" s="127">
        <v>0</v>
      </c>
      <c r="F76" s="83">
        <v>0</v>
      </c>
      <c r="G76" s="83">
        <v>0</v>
      </c>
      <c r="H76" s="82" t="s">
        <v>15</v>
      </c>
      <c r="I76" s="83">
        <v>0</v>
      </c>
      <c r="J76" s="82" t="s">
        <v>15</v>
      </c>
      <c r="K76" s="83">
        <v>71.269989013671903</v>
      </c>
      <c r="L76" s="83">
        <v>0</v>
      </c>
      <c r="M76" s="82" t="s">
        <v>15</v>
      </c>
      <c r="N76" s="83">
        <v>1998.5299739837601</v>
      </c>
      <c r="O76" s="82">
        <v>-0.96</v>
      </c>
      <c r="P76" s="83">
        <v>0</v>
      </c>
      <c r="Q76" s="83">
        <v>0</v>
      </c>
      <c r="R76" s="198">
        <v>0</v>
      </c>
    </row>
    <row r="77" spans="1:18" ht="14.25" customHeight="1">
      <c r="A77" s="197" t="s">
        <v>50</v>
      </c>
      <c r="B77" s="192" t="s">
        <v>108</v>
      </c>
      <c r="C77" s="192" t="s">
        <v>142</v>
      </c>
      <c r="D77" s="84" t="s">
        <v>62</v>
      </c>
      <c r="E77" s="127">
        <v>2042.24</v>
      </c>
      <c r="F77" s="83">
        <v>4775.0200014114398</v>
      </c>
      <c r="G77" s="83">
        <v>9375</v>
      </c>
      <c r="H77" s="82">
        <v>-0.49</v>
      </c>
      <c r="I77" s="83">
        <v>23101.659851074201</v>
      </c>
      <c r="J77" s="82">
        <v>-0.79</v>
      </c>
      <c r="K77" s="83">
        <v>284205.478634834</v>
      </c>
      <c r="L77" s="83">
        <v>258375</v>
      </c>
      <c r="M77" s="82">
        <v>0.1</v>
      </c>
      <c r="N77" s="83">
        <v>243983.57968997999</v>
      </c>
      <c r="O77" s="82">
        <v>0.16</v>
      </c>
      <c r="P77" s="83">
        <v>2117.1042104520302</v>
      </c>
      <c r="Q77" s="83">
        <v>4640.8333333333303</v>
      </c>
      <c r="R77" s="198">
        <v>0</v>
      </c>
    </row>
    <row r="78" spans="1:18" ht="14.25" customHeight="1">
      <c r="A78" s="197" t="s">
        <v>50</v>
      </c>
      <c r="B78" s="192" t="s">
        <v>108</v>
      </c>
      <c r="C78" s="192" t="s">
        <v>142</v>
      </c>
      <c r="D78" s="84" t="s">
        <v>6</v>
      </c>
      <c r="E78" s="127">
        <v>1558.33</v>
      </c>
      <c r="F78" s="83">
        <v>4032.5800018310501</v>
      </c>
      <c r="G78" s="83">
        <v>7291.6666666666697</v>
      </c>
      <c r="H78" s="82">
        <v>-0.45</v>
      </c>
      <c r="I78" s="83">
        <v>22521.719992637602</v>
      </c>
      <c r="J78" s="82">
        <v>-0.82</v>
      </c>
      <c r="K78" s="83">
        <v>138414.32993888899</v>
      </c>
      <c r="L78" s="83">
        <v>137291.66666666701</v>
      </c>
      <c r="M78" s="82">
        <v>0.01</v>
      </c>
      <c r="N78" s="83">
        <v>161010.730277061</v>
      </c>
      <c r="O78" s="82">
        <v>-0.14000000000000001</v>
      </c>
      <c r="P78" s="83">
        <v>1629.8642104299399</v>
      </c>
      <c r="Q78" s="83">
        <v>2704</v>
      </c>
      <c r="R78" s="198">
        <v>0</v>
      </c>
    </row>
    <row r="79" spans="1:18" ht="14.25" customHeight="1">
      <c r="A79" s="197" t="s">
        <v>50</v>
      </c>
      <c r="B79" s="192" t="s">
        <v>108</v>
      </c>
      <c r="C79" s="192" t="s">
        <v>142</v>
      </c>
      <c r="D79" s="84" t="s">
        <v>61</v>
      </c>
      <c r="E79" s="127">
        <v>678.46</v>
      </c>
      <c r="F79" s="83">
        <v>1303.5699996948199</v>
      </c>
      <c r="G79" s="83">
        <v>2500</v>
      </c>
      <c r="H79" s="82">
        <v>-0.48</v>
      </c>
      <c r="I79" s="83">
        <v>2926.29003143311</v>
      </c>
      <c r="J79" s="82">
        <v>-0.55000000000000004</v>
      </c>
      <c r="K79" s="83">
        <v>74113.179514884905</v>
      </c>
      <c r="L79" s="83">
        <v>71500</v>
      </c>
      <c r="M79" s="82">
        <v>0.04</v>
      </c>
      <c r="N79" s="83">
        <v>55932.829908371001</v>
      </c>
      <c r="O79" s="82">
        <v>0.33</v>
      </c>
      <c r="P79" s="83">
        <v>562.97000001606204</v>
      </c>
      <c r="Q79" s="83">
        <v>1755.5600750000001</v>
      </c>
      <c r="R79" s="198">
        <v>0</v>
      </c>
    </row>
    <row r="80" spans="1:18" ht="14.25" customHeight="1">
      <c r="A80" s="197" t="s">
        <v>50</v>
      </c>
      <c r="B80" s="192" t="s">
        <v>108</v>
      </c>
      <c r="C80" s="192" t="s">
        <v>142</v>
      </c>
      <c r="D80" s="84" t="s">
        <v>154</v>
      </c>
      <c r="E80" s="127">
        <v>0</v>
      </c>
      <c r="F80" s="83">
        <v>0</v>
      </c>
      <c r="G80" s="83">
        <v>0</v>
      </c>
      <c r="H80" s="82" t="s">
        <v>15</v>
      </c>
      <c r="I80" s="83">
        <v>0</v>
      </c>
      <c r="J80" s="82" t="s">
        <v>15</v>
      </c>
      <c r="K80" s="83">
        <v>0</v>
      </c>
      <c r="L80" s="83">
        <v>0</v>
      </c>
      <c r="M80" s="82" t="s">
        <v>15</v>
      </c>
      <c r="N80" s="83">
        <v>0</v>
      </c>
      <c r="O80" s="82" t="s">
        <v>15</v>
      </c>
      <c r="P80" s="83">
        <v>0</v>
      </c>
      <c r="Q80" s="83">
        <v>0</v>
      </c>
      <c r="R80" s="198">
        <v>0</v>
      </c>
    </row>
    <row r="81" spans="1:18" ht="14.25" customHeight="1" thickBot="1">
      <c r="A81" s="199" t="s">
        <v>50</v>
      </c>
      <c r="B81" s="200" t="s">
        <v>108</v>
      </c>
      <c r="C81" s="200" t="s">
        <v>142</v>
      </c>
      <c r="D81" s="81" t="s">
        <v>60</v>
      </c>
      <c r="E81" s="128">
        <v>6273.94</v>
      </c>
      <c r="F81" s="80">
        <v>13311.98</v>
      </c>
      <c r="G81" s="80">
        <v>26041.666666666701</v>
      </c>
      <c r="H81" s="201">
        <v>-0.49</v>
      </c>
      <c r="I81" s="80">
        <v>63387.4</v>
      </c>
      <c r="J81" s="201">
        <v>-0.79</v>
      </c>
      <c r="K81" s="80">
        <v>748674.54</v>
      </c>
      <c r="L81" s="80">
        <v>741041.66666666698</v>
      </c>
      <c r="M81" s="201">
        <v>0.01</v>
      </c>
      <c r="N81" s="80">
        <v>701828.35</v>
      </c>
      <c r="O81" s="201">
        <v>7.0000000000000007E-2</v>
      </c>
      <c r="P81" s="80">
        <v>5878.3168421052596</v>
      </c>
      <c r="Q81" s="80">
        <v>13570.4567416667</v>
      </c>
      <c r="R81" s="202">
        <v>0</v>
      </c>
    </row>
    <row r="82" spans="1:18" ht="14.25" customHeight="1">
      <c r="A82" s="193" t="s">
        <v>50</v>
      </c>
      <c r="B82" s="194" t="s">
        <v>109</v>
      </c>
      <c r="C82" s="194" t="s">
        <v>114</v>
      </c>
      <c r="D82" s="86" t="s">
        <v>49</v>
      </c>
      <c r="E82" s="126">
        <v>2197.02</v>
      </c>
      <c r="F82" s="85">
        <v>7152.080078125</v>
      </c>
      <c r="G82" s="85">
        <v>10416.666666666701</v>
      </c>
      <c r="H82" s="195">
        <v>-0.31</v>
      </c>
      <c r="I82" s="85">
        <v>9126.1600341796893</v>
      </c>
      <c r="J82" s="195">
        <v>-0.22</v>
      </c>
      <c r="K82" s="85">
        <v>309112.37719726597</v>
      </c>
      <c r="L82" s="85">
        <v>392416.66666666698</v>
      </c>
      <c r="M82" s="195">
        <v>-0.21</v>
      </c>
      <c r="N82" s="85">
        <v>357613.75366210903</v>
      </c>
      <c r="O82" s="195">
        <v>-0.14000000000000001</v>
      </c>
      <c r="P82" s="85">
        <v>2255.1536800986801</v>
      </c>
      <c r="Q82" s="85">
        <v>3177.6402083333301</v>
      </c>
      <c r="R82" s="196">
        <v>0</v>
      </c>
    </row>
    <row r="83" spans="1:18" ht="14.25" customHeight="1">
      <c r="A83" s="197" t="s">
        <v>50</v>
      </c>
      <c r="B83" s="192" t="s">
        <v>109</v>
      </c>
      <c r="C83" s="192" t="s">
        <v>114</v>
      </c>
      <c r="D83" s="84" t="s">
        <v>191</v>
      </c>
      <c r="E83" s="127">
        <v>403.34</v>
      </c>
      <c r="F83" s="83">
        <v>1956.1399803161601</v>
      </c>
      <c r="G83" s="83">
        <v>2083.3333333333298</v>
      </c>
      <c r="H83" s="82">
        <v>-0.06</v>
      </c>
      <c r="I83" s="83">
        <v>655.39001083374001</v>
      </c>
      <c r="J83" s="82">
        <v>1.98</v>
      </c>
      <c r="K83" s="83">
        <v>65298.589380264297</v>
      </c>
      <c r="L83" s="83">
        <v>135083.33333333299</v>
      </c>
      <c r="M83" s="82">
        <v>-0.52</v>
      </c>
      <c r="N83" s="83">
        <v>66045.650218963594</v>
      </c>
      <c r="O83" s="82">
        <v>-0.01</v>
      </c>
      <c r="P83" s="83">
        <v>423.36105366757101</v>
      </c>
      <c r="Q83" s="83">
        <v>927.66666666666697</v>
      </c>
      <c r="R83" s="198">
        <v>0</v>
      </c>
    </row>
    <row r="84" spans="1:18" ht="14.25" customHeight="1">
      <c r="A84" s="197" t="s">
        <v>50</v>
      </c>
      <c r="B84" s="192" t="s">
        <v>109</v>
      </c>
      <c r="C84" s="192" t="s">
        <v>114</v>
      </c>
      <c r="D84" s="84" t="s">
        <v>47</v>
      </c>
      <c r="E84" s="127">
        <v>65.010000000000005</v>
      </c>
      <c r="F84" s="83">
        <v>1715.8000202179001</v>
      </c>
      <c r="G84" s="83">
        <v>2500</v>
      </c>
      <c r="H84" s="82">
        <v>-0.31</v>
      </c>
      <c r="I84" s="83">
        <v>2144.3399963378902</v>
      </c>
      <c r="J84" s="82">
        <v>-0.2</v>
      </c>
      <c r="K84" s="83">
        <v>230158.528624773</v>
      </c>
      <c r="L84" s="83">
        <v>187500</v>
      </c>
      <c r="M84" s="82">
        <v>0.23</v>
      </c>
      <c r="N84" s="83">
        <v>152407.37972927099</v>
      </c>
      <c r="O84" s="82">
        <v>0.51</v>
      </c>
      <c r="P84" s="83">
        <v>541.27368314642604</v>
      </c>
      <c r="Q84" s="83">
        <v>281.66667000000001</v>
      </c>
      <c r="R84" s="198">
        <v>0</v>
      </c>
    </row>
    <row r="85" spans="1:18" ht="14.25" customHeight="1">
      <c r="A85" s="197" t="s">
        <v>50</v>
      </c>
      <c r="B85" s="192" t="s">
        <v>109</v>
      </c>
      <c r="C85" s="192" t="s">
        <v>114</v>
      </c>
      <c r="D85" s="84" t="s">
        <v>62</v>
      </c>
      <c r="E85" s="127">
        <v>1708.76</v>
      </c>
      <c r="F85" s="83">
        <v>10114.9300270081</v>
      </c>
      <c r="G85" s="83">
        <v>0</v>
      </c>
      <c r="H85" s="82" t="s">
        <v>15</v>
      </c>
      <c r="I85" s="83">
        <v>0</v>
      </c>
      <c r="J85" s="82" t="s">
        <v>15</v>
      </c>
      <c r="K85" s="83">
        <v>245783.07903480501</v>
      </c>
      <c r="L85" s="83">
        <v>0</v>
      </c>
      <c r="M85" s="82" t="s">
        <v>15</v>
      </c>
      <c r="N85" s="83">
        <v>5258.3400573730496</v>
      </c>
      <c r="O85" s="82" t="s">
        <v>223</v>
      </c>
      <c r="P85" s="83">
        <v>-532.36473826358394</v>
      </c>
      <c r="Q85" s="83">
        <v>2462.4166666666702</v>
      </c>
      <c r="R85" s="198">
        <v>0</v>
      </c>
    </row>
    <row r="86" spans="1:18" ht="14.25" customHeight="1">
      <c r="A86" s="197" t="s">
        <v>50</v>
      </c>
      <c r="B86" s="192" t="s">
        <v>109</v>
      </c>
      <c r="C86" s="192" t="s">
        <v>114</v>
      </c>
      <c r="D86" s="84" t="s">
        <v>6</v>
      </c>
      <c r="E86" s="127">
        <v>1037.96</v>
      </c>
      <c r="F86" s="83">
        <v>5584.8799829482996</v>
      </c>
      <c r="G86" s="83">
        <v>0</v>
      </c>
      <c r="H86" s="82" t="s">
        <v>15</v>
      </c>
      <c r="I86" s="83">
        <v>0</v>
      </c>
      <c r="J86" s="82" t="s">
        <v>15</v>
      </c>
      <c r="K86" s="83">
        <v>75022.340057373003</v>
      </c>
      <c r="L86" s="83">
        <v>0</v>
      </c>
      <c r="M86" s="82" t="s">
        <v>15</v>
      </c>
      <c r="N86" s="83">
        <v>390.5</v>
      </c>
      <c r="O86" s="82" t="s">
        <v>224</v>
      </c>
      <c r="P86" s="83">
        <v>-293.941051734121</v>
      </c>
      <c r="Q86" s="83">
        <v>784.5</v>
      </c>
      <c r="R86" s="198">
        <v>0</v>
      </c>
    </row>
    <row r="87" spans="1:18" ht="14.25" customHeight="1">
      <c r="A87" s="197" t="s">
        <v>50</v>
      </c>
      <c r="B87" s="192" t="s">
        <v>109</v>
      </c>
      <c r="C87" s="192" t="s">
        <v>114</v>
      </c>
      <c r="D87" s="84" t="s">
        <v>61</v>
      </c>
      <c r="E87" s="127">
        <v>454.77</v>
      </c>
      <c r="F87" s="83">
        <v>4570.5800170898401</v>
      </c>
      <c r="G87" s="83">
        <v>0</v>
      </c>
      <c r="H87" s="82" t="s">
        <v>15</v>
      </c>
      <c r="I87" s="83">
        <v>0</v>
      </c>
      <c r="J87" s="82" t="s">
        <v>15</v>
      </c>
      <c r="K87" s="83">
        <v>53950.349662780798</v>
      </c>
      <c r="L87" s="83">
        <v>0</v>
      </c>
      <c r="M87" s="82" t="s">
        <v>15</v>
      </c>
      <c r="N87" s="83">
        <v>288.89001464843801</v>
      </c>
      <c r="O87" s="82" t="s">
        <v>225</v>
      </c>
      <c r="P87" s="83">
        <v>-240.55684300472799</v>
      </c>
      <c r="Q87" s="83">
        <v>0</v>
      </c>
      <c r="R87" s="198">
        <v>0</v>
      </c>
    </row>
    <row r="88" spans="1:18" ht="14.25" customHeight="1">
      <c r="A88" s="197" t="s">
        <v>50</v>
      </c>
      <c r="B88" s="192" t="s">
        <v>109</v>
      </c>
      <c r="C88" s="192" t="s">
        <v>114</v>
      </c>
      <c r="D88" s="84" t="s">
        <v>154</v>
      </c>
      <c r="E88" s="127">
        <v>0</v>
      </c>
      <c r="F88" s="83">
        <v>0</v>
      </c>
      <c r="G88" s="83">
        <v>0</v>
      </c>
      <c r="H88" s="82" t="s">
        <v>15</v>
      </c>
      <c r="I88" s="83">
        <v>0</v>
      </c>
      <c r="J88" s="82" t="s">
        <v>15</v>
      </c>
      <c r="K88" s="83">
        <v>0</v>
      </c>
      <c r="L88" s="83">
        <v>0</v>
      </c>
      <c r="M88" s="82" t="s">
        <v>15</v>
      </c>
      <c r="N88" s="83">
        <v>0</v>
      </c>
      <c r="O88" s="82" t="s">
        <v>15</v>
      </c>
      <c r="P88" s="83">
        <v>0</v>
      </c>
      <c r="Q88" s="83">
        <v>0</v>
      </c>
      <c r="R88" s="198">
        <v>0</v>
      </c>
    </row>
    <row r="89" spans="1:18" ht="14.25" customHeight="1" thickBot="1">
      <c r="A89" s="199" t="s">
        <v>50</v>
      </c>
      <c r="B89" s="200" t="s">
        <v>109</v>
      </c>
      <c r="C89" s="200" t="s">
        <v>114</v>
      </c>
      <c r="D89" s="81" t="s">
        <v>60</v>
      </c>
      <c r="E89" s="128">
        <v>9200.41</v>
      </c>
      <c r="F89" s="80">
        <v>39636.06</v>
      </c>
      <c r="G89" s="80">
        <v>29166.666666666701</v>
      </c>
      <c r="H89" s="201">
        <v>0.36</v>
      </c>
      <c r="I89" s="80">
        <v>16146.36</v>
      </c>
      <c r="J89" s="201">
        <v>1.45</v>
      </c>
      <c r="K89" s="80">
        <v>1553283.1</v>
      </c>
      <c r="L89" s="80">
        <v>982166.66666666698</v>
      </c>
      <c r="M89" s="201">
        <v>0.57999999999999996</v>
      </c>
      <c r="N89" s="80">
        <v>873690.5</v>
      </c>
      <c r="O89" s="201">
        <v>0.78</v>
      </c>
      <c r="P89" s="80">
        <v>5282.3126315789495</v>
      </c>
      <c r="Q89" s="80">
        <v>14695.793045</v>
      </c>
      <c r="R89" s="202">
        <v>0</v>
      </c>
    </row>
    <row r="90" spans="1:18" ht="14.25" customHeight="1">
      <c r="A90" s="193" t="s">
        <v>50</v>
      </c>
      <c r="B90" s="194" t="s">
        <v>110</v>
      </c>
      <c r="C90" s="194" t="s">
        <v>158</v>
      </c>
      <c r="D90" s="86" t="s">
        <v>49</v>
      </c>
      <c r="E90" s="126">
        <v>0</v>
      </c>
      <c r="F90" s="85">
        <v>0</v>
      </c>
      <c r="G90" s="85">
        <v>0</v>
      </c>
      <c r="H90" s="195" t="s">
        <v>15</v>
      </c>
      <c r="I90" s="85">
        <v>25265.66015625</v>
      </c>
      <c r="J90" s="195">
        <v>-1</v>
      </c>
      <c r="K90" s="85">
        <v>0</v>
      </c>
      <c r="L90" s="85">
        <v>0</v>
      </c>
      <c r="M90" s="195" t="s">
        <v>15</v>
      </c>
      <c r="N90" s="85">
        <v>33135.260284423799</v>
      </c>
      <c r="O90" s="195">
        <v>-1</v>
      </c>
      <c r="P90" s="85">
        <v>0</v>
      </c>
      <c r="Q90" s="85">
        <v>0</v>
      </c>
      <c r="R90" s="196">
        <v>0</v>
      </c>
    </row>
    <row r="91" spans="1:18" ht="14.25" customHeight="1">
      <c r="A91" s="197" t="s">
        <v>50</v>
      </c>
      <c r="B91" s="192" t="s">
        <v>110</v>
      </c>
      <c r="C91" s="192" t="s">
        <v>158</v>
      </c>
      <c r="D91" s="84" t="s">
        <v>191</v>
      </c>
      <c r="E91" s="127">
        <v>0</v>
      </c>
      <c r="F91" s="83">
        <v>0</v>
      </c>
      <c r="G91" s="83">
        <v>0</v>
      </c>
      <c r="H91" s="82" t="s">
        <v>15</v>
      </c>
      <c r="I91" s="83">
        <v>9165.7499542236292</v>
      </c>
      <c r="J91" s="82">
        <v>-1</v>
      </c>
      <c r="K91" s="83">
        <v>0</v>
      </c>
      <c r="L91" s="83">
        <v>0</v>
      </c>
      <c r="M91" s="82" t="s">
        <v>15</v>
      </c>
      <c r="N91" s="83">
        <v>10617.7699623108</v>
      </c>
      <c r="O91" s="82">
        <v>-1</v>
      </c>
      <c r="P91" s="83">
        <v>0</v>
      </c>
      <c r="Q91" s="83">
        <v>0</v>
      </c>
      <c r="R91" s="198">
        <v>0</v>
      </c>
    </row>
    <row r="92" spans="1:18" ht="14.25" customHeight="1">
      <c r="A92" s="197" t="s">
        <v>50</v>
      </c>
      <c r="B92" s="192" t="s">
        <v>110</v>
      </c>
      <c r="C92" s="192" t="s">
        <v>158</v>
      </c>
      <c r="D92" s="84" t="s">
        <v>47</v>
      </c>
      <c r="E92" s="127">
        <v>0</v>
      </c>
      <c r="F92" s="83">
        <v>0</v>
      </c>
      <c r="G92" s="83">
        <v>0</v>
      </c>
      <c r="H92" s="82" t="s">
        <v>15</v>
      </c>
      <c r="I92" s="83">
        <v>2160.28002738953</v>
      </c>
      <c r="J92" s="82">
        <v>-1</v>
      </c>
      <c r="K92" s="83">
        <v>0</v>
      </c>
      <c r="L92" s="83">
        <v>0</v>
      </c>
      <c r="M92" s="82" t="s">
        <v>15</v>
      </c>
      <c r="N92" s="83">
        <v>7452.6600856780997</v>
      </c>
      <c r="O92" s="82">
        <v>-1</v>
      </c>
      <c r="P92" s="83">
        <v>0</v>
      </c>
      <c r="Q92" s="83">
        <v>0</v>
      </c>
      <c r="R92" s="198">
        <v>0</v>
      </c>
    </row>
    <row r="93" spans="1:18" ht="14.25" customHeight="1">
      <c r="A93" s="197" t="s">
        <v>50</v>
      </c>
      <c r="B93" s="192" t="s">
        <v>110</v>
      </c>
      <c r="C93" s="192" t="s">
        <v>158</v>
      </c>
      <c r="D93" s="84" t="s">
        <v>62</v>
      </c>
      <c r="E93" s="127">
        <v>0</v>
      </c>
      <c r="F93" s="83">
        <v>0</v>
      </c>
      <c r="G93" s="83">
        <v>11458.333333333299</v>
      </c>
      <c r="H93" s="82">
        <v>-1</v>
      </c>
      <c r="I93" s="83">
        <v>47851.019989013701</v>
      </c>
      <c r="J93" s="82">
        <v>-1</v>
      </c>
      <c r="K93" s="83">
        <v>112871.02236175499</v>
      </c>
      <c r="L93" s="83">
        <v>366458.33333333302</v>
      </c>
      <c r="M93" s="82">
        <v>-0.69</v>
      </c>
      <c r="N93" s="83">
        <v>381290.52094268799</v>
      </c>
      <c r="O93" s="82">
        <v>-0.7</v>
      </c>
      <c r="P93" s="83">
        <v>2894.7368421052602</v>
      </c>
      <c r="Q93" s="83">
        <v>0</v>
      </c>
      <c r="R93" s="198">
        <v>0</v>
      </c>
    </row>
    <row r="94" spans="1:18" ht="14.25" customHeight="1">
      <c r="A94" s="197" t="s">
        <v>50</v>
      </c>
      <c r="B94" s="192" t="s">
        <v>110</v>
      </c>
      <c r="C94" s="192" t="s">
        <v>158</v>
      </c>
      <c r="D94" s="84" t="s">
        <v>6</v>
      </c>
      <c r="E94" s="127">
        <v>0</v>
      </c>
      <c r="F94" s="83">
        <v>0</v>
      </c>
      <c r="G94" s="83">
        <v>6250</v>
      </c>
      <c r="H94" s="82">
        <v>-1</v>
      </c>
      <c r="I94" s="83">
        <v>23566.210113525402</v>
      </c>
      <c r="J94" s="82">
        <v>-1</v>
      </c>
      <c r="K94" s="83">
        <v>26920.829971313498</v>
      </c>
      <c r="L94" s="83">
        <v>171250</v>
      </c>
      <c r="M94" s="82">
        <v>-0.84</v>
      </c>
      <c r="N94" s="83">
        <v>167020.42098999</v>
      </c>
      <c r="O94" s="82">
        <v>-0.84</v>
      </c>
      <c r="P94" s="83">
        <v>1578.94736842105</v>
      </c>
      <c r="Q94" s="83">
        <v>0</v>
      </c>
      <c r="R94" s="198">
        <v>0</v>
      </c>
    </row>
    <row r="95" spans="1:18" ht="14.25" customHeight="1">
      <c r="A95" s="197" t="s">
        <v>50</v>
      </c>
      <c r="B95" s="192" t="s">
        <v>110</v>
      </c>
      <c r="C95" s="192" t="s">
        <v>158</v>
      </c>
      <c r="D95" s="84" t="s">
        <v>61</v>
      </c>
      <c r="E95" s="127">
        <v>0</v>
      </c>
      <c r="F95" s="83">
        <v>0</v>
      </c>
      <c r="G95" s="83">
        <v>3125</v>
      </c>
      <c r="H95" s="82">
        <v>-1</v>
      </c>
      <c r="I95" s="83">
        <v>13192.8798217773</v>
      </c>
      <c r="J95" s="82">
        <v>-1</v>
      </c>
      <c r="K95" s="83">
        <v>7816.1799392700204</v>
      </c>
      <c r="L95" s="83">
        <v>87125</v>
      </c>
      <c r="M95" s="82">
        <v>-0.91</v>
      </c>
      <c r="N95" s="83">
        <v>65542.579666137695</v>
      </c>
      <c r="O95" s="82">
        <v>-0.88</v>
      </c>
      <c r="P95" s="83">
        <v>789.47368421052602</v>
      </c>
      <c r="Q95" s="83">
        <v>0</v>
      </c>
      <c r="R95" s="198">
        <v>0</v>
      </c>
    </row>
    <row r="96" spans="1:18" ht="14.25" customHeight="1">
      <c r="A96" s="197" t="s">
        <v>50</v>
      </c>
      <c r="B96" s="192" t="s">
        <v>110</v>
      </c>
      <c r="C96" s="192" t="s">
        <v>158</v>
      </c>
      <c r="D96" s="84" t="s">
        <v>154</v>
      </c>
      <c r="E96" s="127">
        <v>0</v>
      </c>
      <c r="F96" s="83">
        <v>0</v>
      </c>
      <c r="G96" s="83">
        <v>0</v>
      </c>
      <c r="H96" s="82" t="s">
        <v>15</v>
      </c>
      <c r="I96" s="83">
        <v>0</v>
      </c>
      <c r="J96" s="82" t="s">
        <v>15</v>
      </c>
      <c r="K96" s="83">
        <v>0</v>
      </c>
      <c r="L96" s="83">
        <v>0</v>
      </c>
      <c r="M96" s="82" t="s">
        <v>15</v>
      </c>
      <c r="N96" s="83">
        <v>0</v>
      </c>
      <c r="O96" s="82" t="s">
        <v>15</v>
      </c>
      <c r="P96" s="83">
        <v>0</v>
      </c>
      <c r="Q96" s="83">
        <v>0</v>
      </c>
      <c r="R96" s="198">
        <v>0</v>
      </c>
    </row>
    <row r="97" spans="1:18" ht="14.25" customHeight="1" thickBot="1">
      <c r="A97" s="199" t="s">
        <v>50</v>
      </c>
      <c r="B97" s="200" t="s">
        <v>110</v>
      </c>
      <c r="C97" s="200" t="s">
        <v>158</v>
      </c>
      <c r="D97" s="81" t="s">
        <v>60</v>
      </c>
      <c r="E97" s="128">
        <v>0</v>
      </c>
      <c r="F97" s="80">
        <v>0</v>
      </c>
      <c r="G97" s="80">
        <v>27083.333333333299</v>
      </c>
      <c r="H97" s="201">
        <v>-1</v>
      </c>
      <c r="I97" s="80">
        <v>170673.83</v>
      </c>
      <c r="J97" s="201">
        <v>-1</v>
      </c>
      <c r="K97" s="80">
        <v>206365.44</v>
      </c>
      <c r="L97" s="80">
        <v>932083.33333333302</v>
      </c>
      <c r="M97" s="201">
        <v>-0.78</v>
      </c>
      <c r="N97" s="80">
        <v>1003968.19</v>
      </c>
      <c r="O97" s="201">
        <v>-0.79</v>
      </c>
      <c r="P97" s="80">
        <v>6842.1052631578996</v>
      </c>
      <c r="Q97" s="80">
        <v>0</v>
      </c>
      <c r="R97" s="202">
        <v>0</v>
      </c>
    </row>
    <row r="98" spans="1:18" ht="14.25" customHeight="1">
      <c r="A98" s="193" t="s">
        <v>50</v>
      </c>
      <c r="B98" s="194" t="s">
        <v>136</v>
      </c>
      <c r="C98" s="194" t="s">
        <v>131</v>
      </c>
      <c r="D98" s="86" t="s">
        <v>49</v>
      </c>
      <c r="E98" s="126">
        <v>496.5</v>
      </c>
      <c r="F98" s="85">
        <v>3164.0900268554701</v>
      </c>
      <c r="G98" s="85">
        <v>7291.6666666666697</v>
      </c>
      <c r="H98" s="195">
        <v>-0.56999999999999995</v>
      </c>
      <c r="I98" s="85">
        <v>29741.8603515625</v>
      </c>
      <c r="J98" s="195">
        <v>-0.89</v>
      </c>
      <c r="K98" s="85">
        <v>246020.38827514599</v>
      </c>
      <c r="L98" s="85">
        <v>229291.66666666701</v>
      </c>
      <c r="M98" s="195">
        <v>7.0000000000000007E-2</v>
      </c>
      <c r="N98" s="85">
        <v>222599.53991699201</v>
      </c>
      <c r="O98" s="195">
        <v>0.11</v>
      </c>
      <c r="P98" s="85">
        <v>1675.57420911287</v>
      </c>
      <c r="Q98" s="85">
        <v>0</v>
      </c>
      <c r="R98" s="196">
        <v>0</v>
      </c>
    </row>
    <row r="99" spans="1:18" ht="14.25" customHeight="1">
      <c r="A99" s="197" t="s">
        <v>50</v>
      </c>
      <c r="B99" s="192" t="s">
        <v>136</v>
      </c>
      <c r="C99" s="192" t="s">
        <v>131</v>
      </c>
      <c r="D99" s="84" t="s">
        <v>191</v>
      </c>
      <c r="E99" s="127">
        <v>534.37</v>
      </c>
      <c r="F99" s="83">
        <v>1290.5700035095199</v>
      </c>
      <c r="G99" s="83">
        <v>2083.3333333333298</v>
      </c>
      <c r="H99" s="82">
        <v>-0.38</v>
      </c>
      <c r="I99" s="83">
        <v>6221.2499237060501</v>
      </c>
      <c r="J99" s="82">
        <v>-0.79</v>
      </c>
      <c r="K99" s="83">
        <v>59437.789745330803</v>
      </c>
      <c r="L99" s="83">
        <v>121083.33333333299</v>
      </c>
      <c r="M99" s="82">
        <v>-0.51</v>
      </c>
      <c r="N99" s="83">
        <v>64822.500427246101</v>
      </c>
      <c r="O99" s="82">
        <v>-0.08</v>
      </c>
      <c r="P99" s="83">
        <v>458.39105244686698</v>
      </c>
      <c r="Q99" s="83">
        <v>0</v>
      </c>
      <c r="R99" s="198">
        <v>0</v>
      </c>
    </row>
    <row r="100" spans="1:18" ht="14.25" customHeight="1">
      <c r="A100" s="197" t="s">
        <v>50</v>
      </c>
      <c r="B100" s="192" t="s">
        <v>136</v>
      </c>
      <c r="C100" s="192" t="s">
        <v>131</v>
      </c>
      <c r="D100" s="84" t="s">
        <v>47</v>
      </c>
      <c r="E100" s="127">
        <v>260</v>
      </c>
      <c r="F100" s="83">
        <v>122</v>
      </c>
      <c r="G100" s="83">
        <v>1875</v>
      </c>
      <c r="H100" s="82">
        <v>-0.93</v>
      </c>
      <c r="I100" s="83">
        <v>2717.0099639892601</v>
      </c>
      <c r="J100" s="82">
        <v>-0.96</v>
      </c>
      <c r="K100" s="83">
        <v>284868.67802238499</v>
      </c>
      <c r="L100" s="83">
        <v>333875</v>
      </c>
      <c r="M100" s="82">
        <v>-0.15</v>
      </c>
      <c r="N100" s="83">
        <v>310632.60852241499</v>
      </c>
      <c r="O100" s="82">
        <v>-0.08</v>
      </c>
      <c r="P100" s="83">
        <v>467.26315789473699</v>
      </c>
      <c r="Q100" s="83">
        <v>0</v>
      </c>
      <c r="R100" s="198">
        <v>0</v>
      </c>
    </row>
    <row r="101" spans="1:18" ht="14.25" customHeight="1">
      <c r="A101" s="197" t="s">
        <v>50</v>
      </c>
      <c r="B101" s="192" t="s">
        <v>136</v>
      </c>
      <c r="C101" s="192" t="s">
        <v>131</v>
      </c>
      <c r="D101" s="84" t="s">
        <v>62</v>
      </c>
      <c r="E101" s="127">
        <v>1289.32</v>
      </c>
      <c r="F101" s="83">
        <v>6619.9899597167996</v>
      </c>
      <c r="G101" s="83">
        <v>8333.3333333333303</v>
      </c>
      <c r="H101" s="82">
        <v>-0.21</v>
      </c>
      <c r="I101" s="83">
        <v>27689.300239562999</v>
      </c>
      <c r="J101" s="82">
        <v>-0.76</v>
      </c>
      <c r="K101" s="83">
        <v>246367.946953773</v>
      </c>
      <c r="L101" s="83">
        <v>260333.33333333299</v>
      </c>
      <c r="M101" s="82">
        <v>-0.05</v>
      </c>
      <c r="N101" s="83">
        <v>234599.319833755</v>
      </c>
      <c r="O101" s="82">
        <v>0.05</v>
      </c>
      <c r="P101" s="83">
        <v>1756.8426336991199</v>
      </c>
      <c r="Q101" s="83">
        <v>0</v>
      </c>
      <c r="R101" s="198">
        <v>0</v>
      </c>
    </row>
    <row r="102" spans="1:18" ht="14.25" customHeight="1">
      <c r="A102" s="197" t="s">
        <v>50</v>
      </c>
      <c r="B102" s="192" t="s">
        <v>136</v>
      </c>
      <c r="C102" s="192" t="s">
        <v>131</v>
      </c>
      <c r="D102" s="84" t="s">
        <v>6</v>
      </c>
      <c r="E102" s="127">
        <v>778</v>
      </c>
      <c r="F102" s="83">
        <v>5016.75</v>
      </c>
      <c r="G102" s="83">
        <v>5208.3333333333303</v>
      </c>
      <c r="H102" s="82">
        <v>-0.04</v>
      </c>
      <c r="I102" s="83">
        <v>18220.839981079102</v>
      </c>
      <c r="J102" s="82">
        <v>-0.72</v>
      </c>
      <c r="K102" s="83">
        <v>111469.80044650999</v>
      </c>
      <c r="L102" s="83">
        <v>139208.33333333299</v>
      </c>
      <c r="M102" s="82">
        <v>-0.2</v>
      </c>
      <c r="N102" s="83">
        <v>113343.559720993</v>
      </c>
      <c r="O102" s="82">
        <v>-0.02</v>
      </c>
      <c r="P102" s="83">
        <v>1051.75</v>
      </c>
      <c r="Q102" s="83">
        <v>0</v>
      </c>
      <c r="R102" s="198">
        <v>0</v>
      </c>
    </row>
    <row r="103" spans="1:18" ht="14.25" customHeight="1">
      <c r="A103" s="197" t="s">
        <v>50</v>
      </c>
      <c r="B103" s="192" t="s">
        <v>136</v>
      </c>
      <c r="C103" s="192" t="s">
        <v>131</v>
      </c>
      <c r="D103" s="84" t="s">
        <v>61</v>
      </c>
      <c r="E103" s="127">
        <v>0</v>
      </c>
      <c r="F103" s="83">
        <v>2178.3300399780301</v>
      </c>
      <c r="G103" s="83">
        <v>2083.3333333333298</v>
      </c>
      <c r="H103" s="82">
        <v>0.05</v>
      </c>
      <c r="I103" s="83">
        <v>4675.1200256347702</v>
      </c>
      <c r="J103" s="82">
        <v>-0.53</v>
      </c>
      <c r="K103" s="83">
        <v>47113.560218810999</v>
      </c>
      <c r="L103" s="83">
        <v>74083.333333333299</v>
      </c>
      <c r="M103" s="82">
        <v>-0.36</v>
      </c>
      <c r="N103" s="83">
        <v>42367.980087280303</v>
      </c>
      <c r="O103" s="82">
        <v>0.11</v>
      </c>
      <c r="P103" s="83">
        <v>411.666840001156</v>
      </c>
      <c r="Q103" s="83">
        <v>0</v>
      </c>
      <c r="R103" s="198">
        <v>0</v>
      </c>
    </row>
    <row r="104" spans="1:18" ht="14.25" customHeight="1">
      <c r="A104" s="197" t="s">
        <v>50</v>
      </c>
      <c r="B104" s="192" t="s">
        <v>136</v>
      </c>
      <c r="C104" s="192" t="s">
        <v>131</v>
      </c>
      <c r="D104" s="84" t="s">
        <v>154</v>
      </c>
      <c r="E104" s="127">
        <v>0</v>
      </c>
      <c r="F104" s="83">
        <v>0</v>
      </c>
      <c r="G104" s="83">
        <v>0</v>
      </c>
      <c r="H104" s="82" t="s">
        <v>15</v>
      </c>
      <c r="I104" s="83">
        <v>0</v>
      </c>
      <c r="J104" s="82" t="s">
        <v>15</v>
      </c>
      <c r="K104" s="83">
        <v>0</v>
      </c>
      <c r="L104" s="83">
        <v>0</v>
      </c>
      <c r="M104" s="82" t="s">
        <v>15</v>
      </c>
      <c r="N104" s="83">
        <v>0</v>
      </c>
      <c r="O104" s="82" t="s">
        <v>15</v>
      </c>
      <c r="P104" s="83">
        <v>0</v>
      </c>
      <c r="Q104" s="83">
        <v>0</v>
      </c>
      <c r="R104" s="198">
        <v>0</v>
      </c>
    </row>
    <row r="105" spans="1:18" ht="14.25" customHeight="1" thickBot="1">
      <c r="A105" s="199" t="s">
        <v>50</v>
      </c>
      <c r="B105" s="200" t="s">
        <v>136</v>
      </c>
      <c r="C105" s="200" t="s">
        <v>131</v>
      </c>
      <c r="D105" s="81" t="s">
        <v>60</v>
      </c>
      <c r="E105" s="128">
        <v>5149.4399999999996</v>
      </c>
      <c r="F105" s="80">
        <v>24321.3</v>
      </c>
      <c r="G105" s="80">
        <v>30208.333333333299</v>
      </c>
      <c r="H105" s="201">
        <v>-0.19</v>
      </c>
      <c r="I105" s="80">
        <v>121736.16</v>
      </c>
      <c r="J105" s="201">
        <v>-0.8</v>
      </c>
      <c r="K105" s="80">
        <v>1472552.53</v>
      </c>
      <c r="L105" s="80">
        <v>1439208.33333333</v>
      </c>
      <c r="M105" s="201">
        <v>0.02</v>
      </c>
      <c r="N105" s="80">
        <v>1382748.39</v>
      </c>
      <c r="O105" s="201">
        <v>0.06</v>
      </c>
      <c r="P105" s="80">
        <v>6351.5105263157902</v>
      </c>
      <c r="Q105" s="80">
        <v>0</v>
      </c>
      <c r="R105" s="202">
        <v>0</v>
      </c>
    </row>
    <row r="106" spans="1:18" ht="14.25" customHeight="1">
      <c r="A106" s="193" t="s">
        <v>50</v>
      </c>
      <c r="B106" s="194" t="s">
        <v>164</v>
      </c>
      <c r="C106" s="194" t="s">
        <v>137</v>
      </c>
      <c r="D106" s="86" t="s">
        <v>49</v>
      </c>
      <c r="E106" s="126">
        <v>2370.0500000000002</v>
      </c>
      <c r="F106" s="85">
        <v>9618.9598388671893</v>
      </c>
      <c r="G106" s="85">
        <v>12500</v>
      </c>
      <c r="H106" s="195">
        <v>-0.23</v>
      </c>
      <c r="I106" s="85">
        <v>48751.539550781301</v>
      </c>
      <c r="J106" s="195">
        <v>-0.8</v>
      </c>
      <c r="K106" s="85">
        <v>358177.89636230498</v>
      </c>
      <c r="L106" s="85">
        <v>374500</v>
      </c>
      <c r="M106" s="195">
        <v>-0.04</v>
      </c>
      <c r="N106" s="85">
        <v>377716.90081787098</v>
      </c>
      <c r="O106" s="195">
        <v>-0.05</v>
      </c>
      <c r="P106" s="85">
        <v>2651.6336926911999</v>
      </c>
      <c r="Q106" s="85">
        <v>0</v>
      </c>
      <c r="R106" s="196">
        <v>0</v>
      </c>
    </row>
    <row r="107" spans="1:18" ht="14.25" customHeight="1">
      <c r="A107" s="197" t="s">
        <v>50</v>
      </c>
      <c r="B107" s="192" t="s">
        <v>164</v>
      </c>
      <c r="C107" s="192" t="s">
        <v>137</v>
      </c>
      <c r="D107" s="84" t="s">
        <v>191</v>
      </c>
      <c r="E107" s="127">
        <v>867.18</v>
      </c>
      <c r="F107" s="83">
        <v>2651.9399871826199</v>
      </c>
      <c r="G107" s="83">
        <v>2708.3333333333298</v>
      </c>
      <c r="H107" s="82">
        <v>-0.02</v>
      </c>
      <c r="I107" s="83">
        <v>11767.230102539101</v>
      </c>
      <c r="J107" s="82">
        <v>-0.77</v>
      </c>
      <c r="K107" s="83">
        <v>94963.980466842695</v>
      </c>
      <c r="L107" s="83">
        <v>118708.33333333299</v>
      </c>
      <c r="M107" s="82">
        <v>-0.2</v>
      </c>
      <c r="N107" s="83">
        <v>85505.890310287505</v>
      </c>
      <c r="O107" s="82">
        <v>0.11</v>
      </c>
      <c r="P107" s="83">
        <v>544.63473751670404</v>
      </c>
      <c r="Q107" s="83">
        <v>0</v>
      </c>
      <c r="R107" s="198">
        <v>0</v>
      </c>
    </row>
    <row r="108" spans="1:18" ht="14.25" customHeight="1">
      <c r="A108" s="197" t="s">
        <v>50</v>
      </c>
      <c r="B108" s="192" t="s">
        <v>164</v>
      </c>
      <c r="C108" s="192" t="s">
        <v>137</v>
      </c>
      <c r="D108" s="84" t="s">
        <v>47</v>
      </c>
      <c r="E108" s="127">
        <v>571.66999999999996</v>
      </c>
      <c r="F108" s="83">
        <v>2274.6800537109398</v>
      </c>
      <c r="G108" s="83">
        <v>3125</v>
      </c>
      <c r="H108" s="82">
        <v>-0.27</v>
      </c>
      <c r="I108" s="83">
        <v>10134.349729538</v>
      </c>
      <c r="J108" s="82">
        <v>-0.78</v>
      </c>
      <c r="K108" s="83">
        <v>301582.62094497698</v>
      </c>
      <c r="L108" s="83">
        <v>344125</v>
      </c>
      <c r="M108" s="82">
        <v>-0.12</v>
      </c>
      <c r="N108" s="83">
        <v>324739.62212753302</v>
      </c>
      <c r="O108" s="82">
        <v>-7.0000000000000007E-2</v>
      </c>
      <c r="P108" s="83">
        <v>669.75368138363501</v>
      </c>
      <c r="Q108" s="83">
        <v>0</v>
      </c>
      <c r="R108" s="198">
        <v>0</v>
      </c>
    </row>
    <row r="109" spans="1:18" ht="14.25" customHeight="1">
      <c r="A109" s="197" t="s">
        <v>50</v>
      </c>
      <c r="B109" s="192" t="s">
        <v>164</v>
      </c>
      <c r="C109" s="192" t="s">
        <v>137</v>
      </c>
      <c r="D109" s="84" t="s">
        <v>62</v>
      </c>
      <c r="E109" s="127">
        <v>1451.5</v>
      </c>
      <c r="F109" s="83">
        <v>8538.25</v>
      </c>
      <c r="G109" s="83">
        <v>12500</v>
      </c>
      <c r="H109" s="82">
        <v>-0.32</v>
      </c>
      <c r="I109" s="83">
        <v>44540.359878540003</v>
      </c>
      <c r="J109" s="82">
        <v>-0.81</v>
      </c>
      <c r="K109" s="83">
        <v>364642.67982196802</v>
      </c>
      <c r="L109" s="83">
        <v>332500</v>
      </c>
      <c r="M109" s="82">
        <v>0.1</v>
      </c>
      <c r="N109" s="83">
        <v>330224.639947891</v>
      </c>
      <c r="O109" s="82">
        <v>0.1</v>
      </c>
      <c r="P109" s="83">
        <v>2708.5131578947398</v>
      </c>
      <c r="Q109" s="83">
        <v>0</v>
      </c>
      <c r="R109" s="198">
        <v>0</v>
      </c>
    </row>
    <row r="110" spans="1:18" ht="14.25" customHeight="1">
      <c r="A110" s="197" t="s">
        <v>50</v>
      </c>
      <c r="B110" s="192" t="s">
        <v>164</v>
      </c>
      <c r="C110" s="192" t="s">
        <v>137</v>
      </c>
      <c r="D110" s="84" t="s">
        <v>6</v>
      </c>
      <c r="E110" s="127">
        <v>611</v>
      </c>
      <c r="F110" s="83">
        <v>5562.25</v>
      </c>
      <c r="G110" s="83">
        <v>9375</v>
      </c>
      <c r="H110" s="82">
        <v>-0.41</v>
      </c>
      <c r="I110" s="83">
        <v>17729.239929199201</v>
      </c>
      <c r="J110" s="82">
        <v>-0.69</v>
      </c>
      <c r="K110" s="83">
        <v>128565.24014663701</v>
      </c>
      <c r="L110" s="83">
        <v>187375</v>
      </c>
      <c r="M110" s="82">
        <v>-0.31</v>
      </c>
      <c r="N110" s="83">
        <v>91585.469993591294</v>
      </c>
      <c r="O110" s="82">
        <v>0.4</v>
      </c>
      <c r="P110" s="83">
        <v>2075.6710526315801</v>
      </c>
      <c r="Q110" s="83">
        <v>0</v>
      </c>
      <c r="R110" s="198">
        <v>0</v>
      </c>
    </row>
    <row r="111" spans="1:18" ht="14.25" customHeight="1">
      <c r="A111" s="197" t="s">
        <v>50</v>
      </c>
      <c r="B111" s="192" t="s">
        <v>164</v>
      </c>
      <c r="C111" s="192" t="s">
        <v>137</v>
      </c>
      <c r="D111" s="84" t="s">
        <v>61</v>
      </c>
      <c r="E111" s="127">
        <v>1694.94</v>
      </c>
      <c r="F111" s="83">
        <v>4290.7998657226599</v>
      </c>
      <c r="G111" s="83">
        <v>5208.3333333333303</v>
      </c>
      <c r="H111" s="82">
        <v>-0.18</v>
      </c>
      <c r="I111" s="83">
        <v>12515.940063476601</v>
      </c>
      <c r="J111" s="82">
        <v>-0.66</v>
      </c>
      <c r="K111" s="83">
        <v>127607.610992432</v>
      </c>
      <c r="L111" s="83">
        <v>116208.33333333299</v>
      </c>
      <c r="M111" s="82">
        <v>0.1</v>
      </c>
      <c r="N111" s="83">
        <v>94380.870147705107</v>
      </c>
      <c r="O111" s="82">
        <v>0.35</v>
      </c>
      <c r="P111" s="83">
        <v>1089.9579018040699</v>
      </c>
      <c r="Q111" s="83">
        <v>0</v>
      </c>
      <c r="R111" s="198">
        <v>0</v>
      </c>
    </row>
    <row r="112" spans="1:18" ht="14.25" customHeight="1">
      <c r="A112" s="197" t="s">
        <v>50</v>
      </c>
      <c r="B112" s="192" t="s">
        <v>164</v>
      </c>
      <c r="C112" s="192" t="s">
        <v>137</v>
      </c>
      <c r="D112" s="84" t="s">
        <v>154</v>
      </c>
      <c r="E112" s="127">
        <v>0</v>
      </c>
      <c r="F112" s="83">
        <v>0</v>
      </c>
      <c r="G112" s="83">
        <v>0</v>
      </c>
      <c r="H112" s="82" t="s">
        <v>15</v>
      </c>
      <c r="I112" s="83">
        <v>0</v>
      </c>
      <c r="J112" s="82" t="s">
        <v>15</v>
      </c>
      <c r="K112" s="83">
        <v>0</v>
      </c>
      <c r="L112" s="83">
        <v>0</v>
      </c>
      <c r="M112" s="82" t="s">
        <v>15</v>
      </c>
      <c r="N112" s="83">
        <v>0</v>
      </c>
      <c r="O112" s="82" t="s">
        <v>15</v>
      </c>
      <c r="P112" s="83">
        <v>0</v>
      </c>
      <c r="Q112" s="83">
        <v>0</v>
      </c>
      <c r="R112" s="198">
        <v>0</v>
      </c>
    </row>
    <row r="113" spans="1:18" ht="14.25" customHeight="1" thickBot="1">
      <c r="A113" s="199" t="s">
        <v>50</v>
      </c>
      <c r="B113" s="200" t="s">
        <v>164</v>
      </c>
      <c r="C113" s="200" t="s">
        <v>137</v>
      </c>
      <c r="D113" s="81" t="s">
        <v>60</v>
      </c>
      <c r="E113" s="128">
        <v>10441.780000000001</v>
      </c>
      <c r="F113" s="80">
        <v>47835.38</v>
      </c>
      <c r="G113" s="80">
        <v>54166.666666666701</v>
      </c>
      <c r="H113" s="201">
        <v>-0.12</v>
      </c>
      <c r="I113" s="80">
        <v>191937.21</v>
      </c>
      <c r="J113" s="201">
        <v>-0.75</v>
      </c>
      <c r="K113" s="80">
        <v>1982591.21</v>
      </c>
      <c r="L113" s="80">
        <v>1774166.66666667</v>
      </c>
      <c r="M113" s="201">
        <v>0.12</v>
      </c>
      <c r="N113" s="80">
        <v>1813092.35</v>
      </c>
      <c r="O113" s="201">
        <v>0.09</v>
      </c>
      <c r="P113" s="80">
        <v>11166.558947368399</v>
      </c>
      <c r="Q113" s="80">
        <v>0</v>
      </c>
      <c r="R113" s="202">
        <v>0</v>
      </c>
    </row>
    <row r="114" spans="1:18" ht="14.25" customHeight="1">
      <c r="A114" s="193" t="s">
        <v>50</v>
      </c>
      <c r="B114" s="194" t="s">
        <v>132</v>
      </c>
      <c r="C114" s="194" t="s">
        <v>144</v>
      </c>
      <c r="D114" s="86" t="s">
        <v>49</v>
      </c>
      <c r="E114" s="126">
        <v>314.07</v>
      </c>
      <c r="F114" s="85">
        <v>3078.0300598144499</v>
      </c>
      <c r="G114" s="85">
        <v>9375</v>
      </c>
      <c r="H114" s="195">
        <v>-0.67</v>
      </c>
      <c r="I114" s="85">
        <v>35903.388977050803</v>
      </c>
      <c r="J114" s="195">
        <v>-0.91</v>
      </c>
      <c r="K114" s="85">
        <v>246078.237838745</v>
      </c>
      <c r="L114" s="85">
        <v>291375</v>
      </c>
      <c r="M114" s="195">
        <v>-0.16</v>
      </c>
      <c r="N114" s="85">
        <v>289237.49902343802</v>
      </c>
      <c r="O114" s="195">
        <v>-0.15</v>
      </c>
      <c r="P114" s="85">
        <v>2206.4194705360801</v>
      </c>
      <c r="Q114" s="85">
        <v>545.07124999999996</v>
      </c>
      <c r="R114" s="196">
        <v>0</v>
      </c>
    </row>
    <row r="115" spans="1:18" ht="14.25" customHeight="1">
      <c r="A115" s="197" t="s">
        <v>50</v>
      </c>
      <c r="B115" s="192" t="s">
        <v>132</v>
      </c>
      <c r="C115" s="192" t="s">
        <v>144</v>
      </c>
      <c r="D115" s="84" t="s">
        <v>191</v>
      </c>
      <c r="E115" s="127">
        <v>171.42</v>
      </c>
      <c r="F115" s="83">
        <v>1199.9400196075401</v>
      </c>
      <c r="G115" s="83">
        <v>2500</v>
      </c>
      <c r="H115" s="82">
        <v>-0.52</v>
      </c>
      <c r="I115" s="83">
        <v>14167.060058593799</v>
      </c>
      <c r="J115" s="82">
        <v>-0.92</v>
      </c>
      <c r="K115" s="83">
        <v>54796.030046462998</v>
      </c>
      <c r="L115" s="83">
        <v>87500</v>
      </c>
      <c r="M115" s="82">
        <v>-0.37</v>
      </c>
      <c r="N115" s="83">
        <v>63686.570117950403</v>
      </c>
      <c r="O115" s="82">
        <v>-0.14000000000000001</v>
      </c>
      <c r="P115" s="83">
        <v>568.42420949433995</v>
      </c>
      <c r="Q115" s="83">
        <v>100.833333333333</v>
      </c>
      <c r="R115" s="198">
        <v>0</v>
      </c>
    </row>
    <row r="116" spans="1:18" ht="14.25" customHeight="1">
      <c r="A116" s="197" t="s">
        <v>50</v>
      </c>
      <c r="B116" s="192" t="s">
        <v>132</v>
      </c>
      <c r="C116" s="192" t="s">
        <v>144</v>
      </c>
      <c r="D116" s="84" t="s">
        <v>47</v>
      </c>
      <c r="E116" s="127">
        <v>0</v>
      </c>
      <c r="F116" s="83">
        <v>878.26998901367199</v>
      </c>
      <c r="G116" s="83">
        <v>3333.3333333333298</v>
      </c>
      <c r="H116" s="82">
        <v>-0.74</v>
      </c>
      <c r="I116" s="83">
        <v>11042.659860611</v>
      </c>
      <c r="J116" s="82">
        <v>-0.92</v>
      </c>
      <c r="K116" s="83">
        <v>363222.56886959099</v>
      </c>
      <c r="L116" s="83">
        <v>124833.33333333299</v>
      </c>
      <c r="M116" s="82">
        <v>1.91</v>
      </c>
      <c r="N116" s="83">
        <v>147092.47171783401</v>
      </c>
      <c r="O116" s="82">
        <v>1.47</v>
      </c>
      <c r="P116" s="83">
        <v>795.88052689401695</v>
      </c>
      <c r="Q116" s="83">
        <v>190.42666750000001</v>
      </c>
      <c r="R116" s="198">
        <v>0</v>
      </c>
    </row>
    <row r="117" spans="1:18" ht="14.25" customHeight="1">
      <c r="A117" s="197" t="s">
        <v>50</v>
      </c>
      <c r="B117" s="192" t="s">
        <v>132</v>
      </c>
      <c r="C117" s="192" t="s">
        <v>144</v>
      </c>
      <c r="D117" s="84" t="s">
        <v>62</v>
      </c>
      <c r="E117" s="127">
        <v>678.5</v>
      </c>
      <c r="F117" s="83">
        <v>5806.5800018310501</v>
      </c>
      <c r="G117" s="83">
        <v>8333.3333333333303</v>
      </c>
      <c r="H117" s="82">
        <v>-0.3</v>
      </c>
      <c r="I117" s="83">
        <v>34068.139909744299</v>
      </c>
      <c r="J117" s="82">
        <v>-0.83</v>
      </c>
      <c r="K117" s="83">
        <v>296146.59009742702</v>
      </c>
      <c r="L117" s="83">
        <v>247333.33333333299</v>
      </c>
      <c r="M117" s="82">
        <v>0.2</v>
      </c>
      <c r="N117" s="83">
        <v>241715.22926712001</v>
      </c>
      <c r="O117" s="82">
        <v>0.23</v>
      </c>
      <c r="P117" s="83">
        <v>1799.6536841141599</v>
      </c>
      <c r="Q117" s="83">
        <v>973.70833333333303</v>
      </c>
      <c r="R117" s="198">
        <v>0</v>
      </c>
    </row>
    <row r="118" spans="1:18" ht="14.25" customHeight="1">
      <c r="A118" s="197" t="s">
        <v>50</v>
      </c>
      <c r="B118" s="192" t="s">
        <v>132</v>
      </c>
      <c r="C118" s="192" t="s">
        <v>144</v>
      </c>
      <c r="D118" s="84" t="s">
        <v>6</v>
      </c>
      <c r="E118" s="127">
        <v>503.5</v>
      </c>
      <c r="F118" s="83">
        <v>1399.5</v>
      </c>
      <c r="G118" s="83">
        <v>2500</v>
      </c>
      <c r="H118" s="82">
        <v>-0.44</v>
      </c>
      <c r="I118" s="83">
        <v>10883.0899963379</v>
      </c>
      <c r="J118" s="82">
        <v>-0.87</v>
      </c>
      <c r="K118" s="83">
        <v>74658.600284576401</v>
      </c>
      <c r="L118" s="83">
        <v>127500</v>
      </c>
      <c r="M118" s="82">
        <v>-0.41</v>
      </c>
      <c r="N118" s="83">
        <v>71255.3203125</v>
      </c>
      <c r="O118" s="82">
        <v>0.05</v>
      </c>
      <c r="P118" s="83">
        <v>557.92105263157896</v>
      </c>
      <c r="Q118" s="83">
        <v>1008.75</v>
      </c>
      <c r="R118" s="198">
        <v>0</v>
      </c>
    </row>
    <row r="119" spans="1:18" ht="14.25" customHeight="1">
      <c r="A119" s="197" t="s">
        <v>50</v>
      </c>
      <c r="B119" s="192" t="s">
        <v>132</v>
      </c>
      <c r="C119" s="192" t="s">
        <v>144</v>
      </c>
      <c r="D119" s="84" t="s">
        <v>61</v>
      </c>
      <c r="E119" s="127">
        <v>223.2</v>
      </c>
      <c r="F119" s="83">
        <v>1334.0700378418001</v>
      </c>
      <c r="G119" s="83">
        <v>2083.3333333333298</v>
      </c>
      <c r="H119" s="82">
        <v>-0.36</v>
      </c>
      <c r="I119" s="83">
        <v>6425.7900390625</v>
      </c>
      <c r="J119" s="82">
        <v>-0.79</v>
      </c>
      <c r="K119" s="83">
        <v>67242.179943084702</v>
      </c>
      <c r="L119" s="83">
        <v>87083.333333333299</v>
      </c>
      <c r="M119" s="82">
        <v>-0.23</v>
      </c>
      <c r="N119" s="83">
        <v>55406.9501647949</v>
      </c>
      <c r="O119" s="82">
        <v>0.21</v>
      </c>
      <c r="P119" s="83">
        <v>456.10157695569501</v>
      </c>
      <c r="Q119" s="83">
        <v>0</v>
      </c>
      <c r="R119" s="198">
        <v>0</v>
      </c>
    </row>
    <row r="120" spans="1:18" ht="14.25" customHeight="1">
      <c r="A120" s="197" t="s">
        <v>50</v>
      </c>
      <c r="B120" s="192" t="s">
        <v>132</v>
      </c>
      <c r="C120" s="192" t="s">
        <v>144</v>
      </c>
      <c r="D120" s="84" t="s">
        <v>154</v>
      </c>
      <c r="E120" s="127">
        <v>0</v>
      </c>
      <c r="F120" s="83">
        <v>0</v>
      </c>
      <c r="G120" s="83">
        <v>0</v>
      </c>
      <c r="H120" s="82" t="s">
        <v>15</v>
      </c>
      <c r="I120" s="83">
        <v>0</v>
      </c>
      <c r="J120" s="82" t="s">
        <v>15</v>
      </c>
      <c r="K120" s="83">
        <v>0</v>
      </c>
      <c r="L120" s="83">
        <v>0</v>
      </c>
      <c r="M120" s="82" t="s">
        <v>15</v>
      </c>
      <c r="N120" s="83">
        <v>0</v>
      </c>
      <c r="O120" s="82" t="s">
        <v>15</v>
      </c>
      <c r="P120" s="83">
        <v>0</v>
      </c>
      <c r="Q120" s="83">
        <v>0</v>
      </c>
      <c r="R120" s="198">
        <v>0</v>
      </c>
    </row>
    <row r="121" spans="1:18" ht="14.25" customHeight="1" thickBot="1">
      <c r="A121" s="199" t="s">
        <v>50</v>
      </c>
      <c r="B121" s="200" t="s">
        <v>132</v>
      </c>
      <c r="C121" s="200" t="s">
        <v>144</v>
      </c>
      <c r="D121" s="81" t="s">
        <v>60</v>
      </c>
      <c r="E121" s="128">
        <v>2365.96</v>
      </c>
      <c r="F121" s="80">
        <v>20958.009999999998</v>
      </c>
      <c r="G121" s="80">
        <v>35416.666666666701</v>
      </c>
      <c r="H121" s="201">
        <v>-0.41</v>
      </c>
      <c r="I121" s="80">
        <v>161157.1</v>
      </c>
      <c r="J121" s="201">
        <v>-0.87</v>
      </c>
      <c r="K121" s="80">
        <v>1599604.42</v>
      </c>
      <c r="L121" s="80">
        <v>1320416.66666667</v>
      </c>
      <c r="M121" s="201">
        <v>0.21</v>
      </c>
      <c r="N121" s="80">
        <v>1356216.23</v>
      </c>
      <c r="O121" s="201">
        <v>0.18</v>
      </c>
      <c r="P121" s="80">
        <v>7844.3152631578896</v>
      </c>
      <c r="Q121" s="80">
        <v>4972.2462508333301</v>
      </c>
      <c r="R121" s="202">
        <v>0</v>
      </c>
    </row>
    <row r="122" spans="1:18" ht="14.25" customHeight="1">
      <c r="A122" s="193" t="s">
        <v>50</v>
      </c>
      <c r="B122" s="194" t="s">
        <v>133</v>
      </c>
      <c r="C122" s="194" t="s">
        <v>165</v>
      </c>
      <c r="D122" s="86" t="s">
        <v>49</v>
      </c>
      <c r="E122" s="126">
        <v>0</v>
      </c>
      <c r="F122" s="85">
        <v>0</v>
      </c>
      <c r="G122" s="85">
        <v>5208.3333333333303</v>
      </c>
      <c r="H122" s="195">
        <v>-1</v>
      </c>
      <c r="I122" s="85">
        <v>21254.3098144531</v>
      </c>
      <c r="J122" s="195">
        <v>-1</v>
      </c>
      <c r="K122" s="85">
        <v>109274.209838867</v>
      </c>
      <c r="L122" s="85">
        <v>136708.33333333299</v>
      </c>
      <c r="M122" s="195">
        <v>-0.2</v>
      </c>
      <c r="N122" s="85">
        <v>135756.51904296901</v>
      </c>
      <c r="O122" s="195">
        <v>-0.2</v>
      </c>
      <c r="P122" s="85">
        <v>1315.78947368421</v>
      </c>
      <c r="Q122" s="85">
        <v>0</v>
      </c>
      <c r="R122" s="196">
        <v>0</v>
      </c>
    </row>
    <row r="123" spans="1:18" ht="14.25" customHeight="1">
      <c r="A123" s="197" t="s">
        <v>50</v>
      </c>
      <c r="B123" s="192" t="s">
        <v>133</v>
      </c>
      <c r="C123" s="192" t="s">
        <v>165</v>
      </c>
      <c r="D123" s="84" t="s">
        <v>191</v>
      </c>
      <c r="E123" s="127">
        <v>0</v>
      </c>
      <c r="F123" s="83">
        <v>0</v>
      </c>
      <c r="G123" s="83">
        <v>2083.3333333333298</v>
      </c>
      <c r="H123" s="82">
        <v>-1</v>
      </c>
      <c r="I123" s="83">
        <v>8369.2098999023401</v>
      </c>
      <c r="J123" s="82">
        <v>-1</v>
      </c>
      <c r="K123" s="83">
        <v>28539.340398788499</v>
      </c>
      <c r="L123" s="83">
        <v>55083.333333333299</v>
      </c>
      <c r="M123" s="82">
        <v>-0.48</v>
      </c>
      <c r="N123" s="83">
        <v>36387.590152969598</v>
      </c>
      <c r="O123" s="82">
        <v>-0.22</v>
      </c>
      <c r="P123" s="83">
        <v>526.31578947368405</v>
      </c>
      <c r="Q123" s="83">
        <v>0</v>
      </c>
      <c r="R123" s="198">
        <v>0</v>
      </c>
    </row>
    <row r="124" spans="1:18" ht="14.25" customHeight="1">
      <c r="A124" s="197" t="s">
        <v>50</v>
      </c>
      <c r="B124" s="192" t="s">
        <v>133</v>
      </c>
      <c r="C124" s="192" t="s">
        <v>165</v>
      </c>
      <c r="D124" s="84" t="s">
        <v>47</v>
      </c>
      <c r="E124" s="127">
        <v>0</v>
      </c>
      <c r="F124" s="83">
        <v>0</v>
      </c>
      <c r="G124" s="83">
        <v>2083.3333333333298</v>
      </c>
      <c r="H124" s="82">
        <v>-1</v>
      </c>
      <c r="I124" s="83">
        <v>3201.0099792480501</v>
      </c>
      <c r="J124" s="82">
        <v>-1</v>
      </c>
      <c r="K124" s="83">
        <v>133006.02076339701</v>
      </c>
      <c r="L124" s="83">
        <v>145083.33333333299</v>
      </c>
      <c r="M124" s="82">
        <v>-0.08</v>
      </c>
      <c r="N124" s="83">
        <v>119628.430023193</v>
      </c>
      <c r="O124" s="82">
        <v>0.11</v>
      </c>
      <c r="P124" s="83">
        <v>526.31578947368405</v>
      </c>
      <c r="Q124" s="83">
        <v>0</v>
      </c>
      <c r="R124" s="198">
        <v>0</v>
      </c>
    </row>
    <row r="125" spans="1:18" ht="14.25" customHeight="1">
      <c r="A125" s="197" t="s">
        <v>50</v>
      </c>
      <c r="B125" s="192" t="s">
        <v>133</v>
      </c>
      <c r="C125" s="192" t="s">
        <v>165</v>
      </c>
      <c r="D125" s="84" t="s">
        <v>62</v>
      </c>
      <c r="E125" s="127">
        <v>0</v>
      </c>
      <c r="F125" s="83">
        <v>0</v>
      </c>
      <c r="G125" s="83">
        <v>7291.6666666666697</v>
      </c>
      <c r="H125" s="82">
        <v>-1</v>
      </c>
      <c r="I125" s="83">
        <v>20938.7298851013</v>
      </c>
      <c r="J125" s="82">
        <v>-1</v>
      </c>
      <c r="K125" s="83">
        <v>150533.239242554</v>
      </c>
      <c r="L125" s="83">
        <v>170291.66666666701</v>
      </c>
      <c r="M125" s="82">
        <v>-0.12</v>
      </c>
      <c r="N125" s="83">
        <v>152335.46002197301</v>
      </c>
      <c r="O125" s="82">
        <v>-0.01</v>
      </c>
      <c r="P125" s="83">
        <v>1842.10526315789</v>
      </c>
      <c r="Q125" s="83">
        <v>0</v>
      </c>
      <c r="R125" s="198">
        <v>0</v>
      </c>
    </row>
    <row r="126" spans="1:18" ht="14.25" customHeight="1">
      <c r="A126" s="197" t="s">
        <v>50</v>
      </c>
      <c r="B126" s="192" t="s">
        <v>133</v>
      </c>
      <c r="C126" s="192" t="s">
        <v>165</v>
      </c>
      <c r="D126" s="84" t="s">
        <v>6</v>
      </c>
      <c r="E126" s="127">
        <v>0</v>
      </c>
      <c r="F126" s="83">
        <v>0</v>
      </c>
      <c r="G126" s="83">
        <v>2500</v>
      </c>
      <c r="H126" s="82">
        <v>-1</v>
      </c>
      <c r="I126" s="83">
        <v>15283.6499958038</v>
      </c>
      <c r="J126" s="82">
        <v>-1</v>
      </c>
      <c r="K126" s="83">
        <v>57600.290145874002</v>
      </c>
      <c r="L126" s="83">
        <v>97500</v>
      </c>
      <c r="M126" s="82">
        <v>-0.41</v>
      </c>
      <c r="N126" s="83">
        <v>79433.180389404297</v>
      </c>
      <c r="O126" s="82">
        <v>-0.27</v>
      </c>
      <c r="P126" s="83">
        <v>631.57894736842104</v>
      </c>
      <c r="Q126" s="83">
        <v>0</v>
      </c>
      <c r="R126" s="198">
        <v>0</v>
      </c>
    </row>
    <row r="127" spans="1:18" ht="14.25" customHeight="1">
      <c r="A127" s="197" t="s">
        <v>50</v>
      </c>
      <c r="B127" s="192" t="s">
        <v>133</v>
      </c>
      <c r="C127" s="192" t="s">
        <v>165</v>
      </c>
      <c r="D127" s="84" t="s">
        <v>61</v>
      </c>
      <c r="E127" s="127">
        <v>0</v>
      </c>
      <c r="F127" s="83">
        <v>0</v>
      </c>
      <c r="G127" s="83">
        <v>5208.3333333333303</v>
      </c>
      <c r="H127" s="82">
        <v>-1</v>
      </c>
      <c r="I127" s="83">
        <v>3982.1900482177698</v>
      </c>
      <c r="J127" s="82">
        <v>-1</v>
      </c>
      <c r="K127" s="83">
        <v>57844.469680786096</v>
      </c>
      <c r="L127" s="83">
        <v>81208.333333333299</v>
      </c>
      <c r="M127" s="82">
        <v>-0.28999999999999998</v>
      </c>
      <c r="N127" s="83">
        <v>55886.2702789307</v>
      </c>
      <c r="O127" s="82">
        <v>0.04</v>
      </c>
      <c r="P127" s="83">
        <v>1315.78947368421</v>
      </c>
      <c r="Q127" s="83">
        <v>0</v>
      </c>
      <c r="R127" s="198">
        <v>0</v>
      </c>
    </row>
    <row r="128" spans="1:18" ht="14.25" customHeight="1">
      <c r="A128" s="197" t="s">
        <v>50</v>
      </c>
      <c r="B128" s="192" t="s">
        <v>133</v>
      </c>
      <c r="C128" s="192" t="s">
        <v>165</v>
      </c>
      <c r="D128" s="84" t="s">
        <v>154</v>
      </c>
      <c r="E128" s="127">
        <v>0</v>
      </c>
      <c r="F128" s="83">
        <v>0</v>
      </c>
      <c r="G128" s="83">
        <v>0</v>
      </c>
      <c r="H128" s="82" t="s">
        <v>15</v>
      </c>
      <c r="I128" s="83">
        <v>0</v>
      </c>
      <c r="J128" s="82" t="s">
        <v>15</v>
      </c>
      <c r="K128" s="83">
        <v>0</v>
      </c>
      <c r="L128" s="83">
        <v>0</v>
      </c>
      <c r="M128" s="82" t="s">
        <v>15</v>
      </c>
      <c r="N128" s="83">
        <v>0</v>
      </c>
      <c r="O128" s="82" t="s">
        <v>15</v>
      </c>
      <c r="P128" s="83">
        <v>0</v>
      </c>
      <c r="Q128" s="83">
        <v>0</v>
      </c>
      <c r="R128" s="198">
        <v>0</v>
      </c>
    </row>
    <row r="129" spans="1:18" ht="14.25" customHeight="1" thickBot="1">
      <c r="A129" s="199" t="s">
        <v>50</v>
      </c>
      <c r="B129" s="200" t="s">
        <v>133</v>
      </c>
      <c r="C129" s="200" t="s">
        <v>165</v>
      </c>
      <c r="D129" s="81" t="s">
        <v>60</v>
      </c>
      <c r="E129" s="128">
        <v>0</v>
      </c>
      <c r="F129" s="80">
        <v>0</v>
      </c>
      <c r="G129" s="80">
        <v>29166.666666666701</v>
      </c>
      <c r="H129" s="201">
        <v>-1</v>
      </c>
      <c r="I129" s="80">
        <v>102034.55</v>
      </c>
      <c r="J129" s="201">
        <v>-1</v>
      </c>
      <c r="K129" s="80">
        <v>782004.50999999896</v>
      </c>
      <c r="L129" s="80">
        <v>919166.66666666698</v>
      </c>
      <c r="M129" s="201">
        <v>-0.15</v>
      </c>
      <c r="N129" s="80">
        <v>841660.18000000203</v>
      </c>
      <c r="O129" s="201">
        <v>-7.0000000000000007E-2</v>
      </c>
      <c r="P129" s="80">
        <v>7368.4210526315801</v>
      </c>
      <c r="Q129" s="80">
        <v>0</v>
      </c>
      <c r="R129" s="202">
        <v>0</v>
      </c>
    </row>
    <row r="130" spans="1:18" ht="14.25" customHeight="1">
      <c r="A130" s="193" t="s">
        <v>50</v>
      </c>
      <c r="B130" s="194" t="s">
        <v>147</v>
      </c>
      <c r="C130" s="194" t="s">
        <v>152</v>
      </c>
      <c r="D130" s="86" t="s">
        <v>49</v>
      </c>
      <c r="E130" s="126">
        <v>339.47</v>
      </c>
      <c r="F130" s="85">
        <v>3854.1900634765602</v>
      </c>
      <c r="G130" s="85">
        <v>12500</v>
      </c>
      <c r="H130" s="195">
        <v>-0.69</v>
      </c>
      <c r="I130" s="85">
        <v>56094.559814453103</v>
      </c>
      <c r="J130" s="195">
        <v>-0.93</v>
      </c>
      <c r="K130" s="85">
        <v>305221.99919128401</v>
      </c>
      <c r="L130" s="85">
        <v>465500</v>
      </c>
      <c r="M130" s="195">
        <v>-0.34</v>
      </c>
      <c r="N130" s="85">
        <v>454660.489555359</v>
      </c>
      <c r="O130" s="195">
        <v>-0.33</v>
      </c>
      <c r="P130" s="85">
        <v>2955.0426282380799</v>
      </c>
      <c r="Q130" s="85">
        <v>1835.1910416666699</v>
      </c>
      <c r="R130" s="196">
        <v>0</v>
      </c>
    </row>
    <row r="131" spans="1:18" ht="14.25" customHeight="1">
      <c r="A131" s="197" t="s">
        <v>50</v>
      </c>
      <c r="B131" s="192" t="s">
        <v>147</v>
      </c>
      <c r="C131" s="192" t="s">
        <v>152</v>
      </c>
      <c r="D131" s="84" t="s">
        <v>191</v>
      </c>
      <c r="E131" s="127">
        <v>201.68</v>
      </c>
      <c r="F131" s="83">
        <v>968.01998710632301</v>
      </c>
      <c r="G131" s="83">
        <v>2708.3333333333298</v>
      </c>
      <c r="H131" s="82">
        <v>-0.64</v>
      </c>
      <c r="I131" s="83">
        <v>12180.729858398399</v>
      </c>
      <c r="J131" s="82">
        <v>-0.92</v>
      </c>
      <c r="K131" s="83">
        <v>67408.640029907197</v>
      </c>
      <c r="L131" s="83">
        <v>119708.33333333299</v>
      </c>
      <c r="M131" s="82">
        <v>-0.44</v>
      </c>
      <c r="N131" s="83">
        <v>84387.549600601196</v>
      </c>
      <c r="O131" s="82">
        <v>-0.2</v>
      </c>
      <c r="P131" s="83">
        <v>633.26210594177201</v>
      </c>
      <c r="Q131" s="83">
        <v>605</v>
      </c>
      <c r="R131" s="198">
        <v>0</v>
      </c>
    </row>
    <row r="132" spans="1:18" ht="14.25" customHeight="1">
      <c r="A132" s="197" t="s">
        <v>50</v>
      </c>
      <c r="B132" s="192" t="s">
        <v>147</v>
      </c>
      <c r="C132" s="192" t="s">
        <v>152</v>
      </c>
      <c r="D132" s="84" t="s">
        <v>47</v>
      </c>
      <c r="E132" s="127">
        <v>390.01</v>
      </c>
      <c r="F132" s="83">
        <v>1463.74997711182</v>
      </c>
      <c r="G132" s="83">
        <v>6250</v>
      </c>
      <c r="H132" s="82">
        <v>-0.77</v>
      </c>
      <c r="I132" s="83">
        <v>23891.8496704102</v>
      </c>
      <c r="J132" s="82">
        <v>-0.94</v>
      </c>
      <c r="K132" s="83">
        <v>208620.59869003299</v>
      </c>
      <c r="L132" s="83">
        <v>200250</v>
      </c>
      <c r="M132" s="82">
        <v>0.04</v>
      </c>
      <c r="N132" s="83">
        <v>231794.23015832901</v>
      </c>
      <c r="O132" s="82">
        <v>-0.1</v>
      </c>
      <c r="P132" s="83">
        <v>1501.9078959414801</v>
      </c>
      <c r="Q132" s="83">
        <v>520</v>
      </c>
      <c r="R132" s="198">
        <v>0</v>
      </c>
    </row>
    <row r="133" spans="1:18" ht="14.25" customHeight="1">
      <c r="A133" s="197" t="s">
        <v>50</v>
      </c>
      <c r="B133" s="192" t="s">
        <v>147</v>
      </c>
      <c r="C133" s="192" t="s">
        <v>152</v>
      </c>
      <c r="D133" s="84" t="s">
        <v>62</v>
      </c>
      <c r="E133" s="127">
        <v>470.62</v>
      </c>
      <c r="F133" s="83">
        <v>4729.6999912261999</v>
      </c>
      <c r="G133" s="83">
        <v>0</v>
      </c>
      <c r="H133" s="82" t="s">
        <v>15</v>
      </c>
      <c r="I133" s="83">
        <v>9372.1599121093805</v>
      </c>
      <c r="J133" s="82">
        <v>-0.5</v>
      </c>
      <c r="K133" s="83">
        <v>240012.01025199899</v>
      </c>
      <c r="L133" s="83">
        <v>0</v>
      </c>
      <c r="M133" s="82" t="s">
        <v>15</v>
      </c>
      <c r="N133" s="83">
        <v>14548.1899433136</v>
      </c>
      <c r="O133" s="82" t="s">
        <v>226</v>
      </c>
      <c r="P133" s="83">
        <v>-248.931578485589</v>
      </c>
      <c r="Q133" s="83">
        <v>3781.75</v>
      </c>
      <c r="R133" s="198">
        <v>0</v>
      </c>
    </row>
    <row r="134" spans="1:18" ht="14.25" customHeight="1">
      <c r="A134" s="197" t="s">
        <v>50</v>
      </c>
      <c r="B134" s="192" t="s">
        <v>147</v>
      </c>
      <c r="C134" s="192" t="s">
        <v>152</v>
      </c>
      <c r="D134" s="84" t="s">
        <v>6</v>
      </c>
      <c r="E134" s="127">
        <v>415.5</v>
      </c>
      <c r="F134" s="83">
        <v>1858.5</v>
      </c>
      <c r="G134" s="83">
        <v>0</v>
      </c>
      <c r="H134" s="82" t="s">
        <v>15</v>
      </c>
      <c r="I134" s="83">
        <v>5514.9199981689499</v>
      </c>
      <c r="J134" s="82">
        <v>-0.66</v>
      </c>
      <c r="K134" s="83">
        <v>63718.770076751702</v>
      </c>
      <c r="L134" s="83">
        <v>0</v>
      </c>
      <c r="M134" s="82" t="s">
        <v>15</v>
      </c>
      <c r="N134" s="83">
        <v>6474.25</v>
      </c>
      <c r="O134" s="82">
        <v>8.84</v>
      </c>
      <c r="P134" s="83">
        <v>-97.815789473684205</v>
      </c>
      <c r="Q134" s="83">
        <v>2991.8333333333298</v>
      </c>
      <c r="R134" s="198">
        <v>0</v>
      </c>
    </row>
    <row r="135" spans="1:18" ht="14.25" customHeight="1">
      <c r="A135" s="197" t="s">
        <v>50</v>
      </c>
      <c r="B135" s="192" t="s">
        <v>147</v>
      </c>
      <c r="C135" s="192" t="s">
        <v>152</v>
      </c>
      <c r="D135" s="84" t="s">
        <v>61</v>
      </c>
      <c r="E135" s="127">
        <v>450.59</v>
      </c>
      <c r="F135" s="83">
        <v>2219.8899459838899</v>
      </c>
      <c r="G135" s="83">
        <v>0</v>
      </c>
      <c r="H135" s="82" t="s">
        <v>15</v>
      </c>
      <c r="I135" s="83">
        <v>389.20999145507801</v>
      </c>
      <c r="J135" s="82">
        <v>4.7</v>
      </c>
      <c r="K135" s="83">
        <v>21971.7497711182</v>
      </c>
      <c r="L135" s="83">
        <v>0</v>
      </c>
      <c r="M135" s="82" t="s">
        <v>15</v>
      </c>
      <c r="N135" s="83">
        <v>389.20999145507801</v>
      </c>
      <c r="O135" s="82" t="s">
        <v>227</v>
      </c>
      <c r="P135" s="83">
        <v>-116.83631294652101</v>
      </c>
      <c r="Q135" s="83">
        <v>248.77500000000001</v>
      </c>
      <c r="R135" s="198">
        <v>0</v>
      </c>
    </row>
    <row r="136" spans="1:18" ht="14.25" customHeight="1">
      <c r="A136" s="197" t="s">
        <v>50</v>
      </c>
      <c r="B136" s="192" t="s">
        <v>147</v>
      </c>
      <c r="C136" s="192" t="s">
        <v>152</v>
      </c>
      <c r="D136" s="84" t="s">
        <v>154</v>
      </c>
      <c r="E136" s="127">
        <v>0</v>
      </c>
      <c r="F136" s="83">
        <v>0</v>
      </c>
      <c r="G136" s="83">
        <v>0</v>
      </c>
      <c r="H136" s="82" t="s">
        <v>15</v>
      </c>
      <c r="I136" s="83">
        <v>0</v>
      </c>
      <c r="J136" s="82" t="s">
        <v>15</v>
      </c>
      <c r="K136" s="83">
        <v>0</v>
      </c>
      <c r="L136" s="83">
        <v>0</v>
      </c>
      <c r="M136" s="82" t="s">
        <v>15</v>
      </c>
      <c r="N136" s="83">
        <v>0</v>
      </c>
      <c r="O136" s="82" t="s">
        <v>15</v>
      </c>
      <c r="P136" s="83">
        <v>0</v>
      </c>
      <c r="Q136" s="83">
        <v>0</v>
      </c>
      <c r="R136" s="198">
        <v>0</v>
      </c>
    </row>
    <row r="137" spans="1:18" ht="14.25" customHeight="1" thickBot="1">
      <c r="A137" s="199" t="s">
        <v>50</v>
      </c>
      <c r="B137" s="200" t="s">
        <v>147</v>
      </c>
      <c r="C137" s="200" t="s">
        <v>152</v>
      </c>
      <c r="D137" s="81" t="s">
        <v>60</v>
      </c>
      <c r="E137" s="128">
        <v>2987.6</v>
      </c>
      <c r="F137" s="80">
        <v>21734.1</v>
      </c>
      <c r="G137" s="80">
        <v>31250</v>
      </c>
      <c r="H137" s="201">
        <v>-0.3</v>
      </c>
      <c r="I137" s="80">
        <v>141978.07999999999</v>
      </c>
      <c r="J137" s="201">
        <v>-0.85</v>
      </c>
      <c r="K137" s="80">
        <v>1357561.64</v>
      </c>
      <c r="L137" s="80">
        <v>1065250</v>
      </c>
      <c r="M137" s="201">
        <v>0.27</v>
      </c>
      <c r="N137" s="80">
        <v>1095971.26</v>
      </c>
      <c r="O137" s="201">
        <v>0.24</v>
      </c>
      <c r="P137" s="80">
        <v>6750.8368421052601</v>
      </c>
      <c r="Q137" s="80">
        <v>15732.926291666699</v>
      </c>
      <c r="R137" s="202">
        <v>0</v>
      </c>
    </row>
    <row r="138" spans="1:18" ht="14.25" customHeight="1">
      <c r="A138" s="193" t="s">
        <v>50</v>
      </c>
      <c r="B138" s="194" t="s">
        <v>148</v>
      </c>
      <c r="C138" s="194" t="s">
        <v>190</v>
      </c>
      <c r="D138" s="86" t="s">
        <v>49</v>
      </c>
      <c r="E138" s="126">
        <v>0</v>
      </c>
      <c r="F138" s="85">
        <v>0</v>
      </c>
      <c r="G138" s="85">
        <v>0</v>
      </c>
      <c r="H138" s="195" t="s">
        <v>15</v>
      </c>
      <c r="I138" s="85">
        <v>1238.1600036621101</v>
      </c>
      <c r="J138" s="195">
        <v>-1</v>
      </c>
      <c r="K138" s="85">
        <v>833.65997314453102</v>
      </c>
      <c r="L138" s="85">
        <v>0</v>
      </c>
      <c r="M138" s="195" t="s">
        <v>15</v>
      </c>
      <c r="N138" s="85">
        <v>8508.5900249481201</v>
      </c>
      <c r="O138" s="195">
        <v>-0.9</v>
      </c>
      <c r="P138" s="85">
        <v>0</v>
      </c>
      <c r="Q138" s="85">
        <v>0</v>
      </c>
      <c r="R138" s="196">
        <v>0</v>
      </c>
    </row>
    <row r="139" spans="1:18" ht="14.25" customHeight="1">
      <c r="A139" s="197" t="s">
        <v>50</v>
      </c>
      <c r="B139" s="192" t="s">
        <v>148</v>
      </c>
      <c r="C139" s="192" t="s">
        <v>190</v>
      </c>
      <c r="D139" s="84" t="s">
        <v>191</v>
      </c>
      <c r="E139" s="127">
        <v>0</v>
      </c>
      <c r="F139" s="83">
        <v>0</v>
      </c>
      <c r="G139" s="83">
        <v>0</v>
      </c>
      <c r="H139" s="82" t="s">
        <v>15</v>
      </c>
      <c r="I139" s="83">
        <v>302.5</v>
      </c>
      <c r="J139" s="82">
        <v>-1</v>
      </c>
      <c r="K139" s="83">
        <v>0</v>
      </c>
      <c r="L139" s="83">
        <v>0</v>
      </c>
      <c r="M139" s="82" t="s">
        <v>15</v>
      </c>
      <c r="N139" s="83">
        <v>2399.8399963378902</v>
      </c>
      <c r="O139" s="82">
        <v>-1</v>
      </c>
      <c r="P139" s="83">
        <v>0</v>
      </c>
      <c r="Q139" s="83">
        <v>0</v>
      </c>
      <c r="R139" s="198">
        <v>0</v>
      </c>
    </row>
    <row r="140" spans="1:18" ht="14.25" customHeight="1">
      <c r="A140" s="197" t="s">
        <v>50</v>
      </c>
      <c r="B140" s="192" t="s">
        <v>148</v>
      </c>
      <c r="C140" s="192" t="s">
        <v>190</v>
      </c>
      <c r="D140" s="84" t="s">
        <v>47</v>
      </c>
      <c r="E140" s="127">
        <v>0</v>
      </c>
      <c r="F140" s="83">
        <v>0</v>
      </c>
      <c r="G140" s="83">
        <v>0</v>
      </c>
      <c r="H140" s="82" t="s">
        <v>15</v>
      </c>
      <c r="I140" s="83">
        <v>51.669998168945298</v>
      </c>
      <c r="J140" s="82">
        <v>-1</v>
      </c>
      <c r="K140" s="83">
        <v>0</v>
      </c>
      <c r="L140" s="83">
        <v>0</v>
      </c>
      <c r="M140" s="82" t="s">
        <v>15</v>
      </c>
      <c r="N140" s="83">
        <v>1276.6999893188499</v>
      </c>
      <c r="O140" s="82">
        <v>-1</v>
      </c>
      <c r="P140" s="83">
        <v>0</v>
      </c>
      <c r="Q140" s="83">
        <v>0</v>
      </c>
      <c r="R140" s="198">
        <v>0</v>
      </c>
    </row>
    <row r="141" spans="1:18" ht="14.25" customHeight="1">
      <c r="A141" s="197" t="s">
        <v>50</v>
      </c>
      <c r="B141" s="192" t="s">
        <v>148</v>
      </c>
      <c r="C141" s="192" t="s">
        <v>190</v>
      </c>
      <c r="D141" s="84" t="s">
        <v>62</v>
      </c>
      <c r="E141" s="127">
        <v>0</v>
      </c>
      <c r="F141" s="83">
        <v>0</v>
      </c>
      <c r="G141" s="83">
        <v>8958.3333333333303</v>
      </c>
      <c r="H141" s="82">
        <v>-1</v>
      </c>
      <c r="I141" s="83">
        <v>29310.5100097656</v>
      </c>
      <c r="J141" s="82">
        <v>-1</v>
      </c>
      <c r="K141" s="83">
        <v>87575.139399528503</v>
      </c>
      <c r="L141" s="83">
        <v>378958.33333333302</v>
      </c>
      <c r="M141" s="82">
        <v>-0.77</v>
      </c>
      <c r="N141" s="83">
        <v>375767.48934364301</v>
      </c>
      <c r="O141" s="82">
        <v>-0.77</v>
      </c>
      <c r="P141" s="83">
        <v>2263.1578947368398</v>
      </c>
      <c r="Q141" s="83">
        <v>0</v>
      </c>
      <c r="R141" s="198">
        <v>0</v>
      </c>
    </row>
    <row r="142" spans="1:18" ht="14.25" customHeight="1">
      <c r="A142" s="197" t="s">
        <v>50</v>
      </c>
      <c r="B142" s="192" t="s">
        <v>148</v>
      </c>
      <c r="C142" s="192" t="s">
        <v>190</v>
      </c>
      <c r="D142" s="84" t="s">
        <v>6</v>
      </c>
      <c r="E142" s="127">
        <v>0</v>
      </c>
      <c r="F142" s="83">
        <v>0</v>
      </c>
      <c r="G142" s="83">
        <v>4791.6666666666697</v>
      </c>
      <c r="H142" s="82">
        <v>-1</v>
      </c>
      <c r="I142" s="83">
        <v>14550.3399562836</v>
      </c>
      <c r="J142" s="82">
        <v>-1</v>
      </c>
      <c r="K142" s="83">
        <v>15730.3299102783</v>
      </c>
      <c r="L142" s="83">
        <v>183791.66666666701</v>
      </c>
      <c r="M142" s="82">
        <v>-0.91</v>
      </c>
      <c r="N142" s="83">
        <v>122006.55996608701</v>
      </c>
      <c r="O142" s="82">
        <v>-0.87</v>
      </c>
      <c r="P142" s="83">
        <v>1210.5263157894699</v>
      </c>
      <c r="Q142" s="83">
        <v>0</v>
      </c>
      <c r="R142" s="198">
        <v>0</v>
      </c>
    </row>
    <row r="143" spans="1:18" ht="14.25" customHeight="1">
      <c r="A143" s="197" t="s">
        <v>50</v>
      </c>
      <c r="B143" s="192" t="s">
        <v>148</v>
      </c>
      <c r="C143" s="192" t="s">
        <v>190</v>
      </c>
      <c r="D143" s="84" t="s">
        <v>61</v>
      </c>
      <c r="E143" s="127">
        <v>0</v>
      </c>
      <c r="F143" s="83">
        <v>0</v>
      </c>
      <c r="G143" s="83">
        <v>2500</v>
      </c>
      <c r="H143" s="82">
        <v>-1</v>
      </c>
      <c r="I143" s="83">
        <v>2238.7999877929701</v>
      </c>
      <c r="J143" s="82">
        <v>-1</v>
      </c>
      <c r="K143" s="83">
        <v>16724.5997848511</v>
      </c>
      <c r="L143" s="83">
        <v>99500</v>
      </c>
      <c r="M143" s="82">
        <v>-0.83</v>
      </c>
      <c r="N143" s="83">
        <v>42952.839658737197</v>
      </c>
      <c r="O143" s="82">
        <v>-0.61</v>
      </c>
      <c r="P143" s="83">
        <v>631.57894736842104</v>
      </c>
      <c r="Q143" s="83">
        <v>0</v>
      </c>
      <c r="R143" s="198">
        <v>0</v>
      </c>
    </row>
    <row r="144" spans="1:18" ht="14.25" customHeight="1">
      <c r="A144" s="197" t="s">
        <v>50</v>
      </c>
      <c r="B144" s="192" t="s">
        <v>148</v>
      </c>
      <c r="C144" s="192" t="s">
        <v>190</v>
      </c>
      <c r="D144" s="84" t="s">
        <v>154</v>
      </c>
      <c r="E144" s="127">
        <v>0</v>
      </c>
      <c r="F144" s="83">
        <v>0</v>
      </c>
      <c r="G144" s="83">
        <v>0</v>
      </c>
      <c r="H144" s="82" t="s">
        <v>15</v>
      </c>
      <c r="I144" s="83">
        <v>0</v>
      </c>
      <c r="J144" s="82" t="s">
        <v>15</v>
      </c>
      <c r="K144" s="83">
        <v>0</v>
      </c>
      <c r="L144" s="83">
        <v>0</v>
      </c>
      <c r="M144" s="82" t="s">
        <v>15</v>
      </c>
      <c r="N144" s="83">
        <v>0</v>
      </c>
      <c r="O144" s="82" t="s">
        <v>15</v>
      </c>
      <c r="P144" s="83">
        <v>0</v>
      </c>
      <c r="Q144" s="83">
        <v>0</v>
      </c>
      <c r="R144" s="198">
        <v>0</v>
      </c>
    </row>
    <row r="145" spans="1:18" ht="14.25" customHeight="1" thickBot="1">
      <c r="A145" s="199" t="s">
        <v>50</v>
      </c>
      <c r="B145" s="200" t="s">
        <v>148</v>
      </c>
      <c r="C145" s="200" t="s">
        <v>190</v>
      </c>
      <c r="D145" s="81" t="s">
        <v>60</v>
      </c>
      <c r="E145" s="128">
        <v>0</v>
      </c>
      <c r="F145" s="80">
        <v>0</v>
      </c>
      <c r="G145" s="80">
        <v>25625</v>
      </c>
      <c r="H145" s="201">
        <v>-1</v>
      </c>
      <c r="I145" s="80">
        <v>63222.73</v>
      </c>
      <c r="J145" s="201">
        <v>-1</v>
      </c>
      <c r="K145" s="80">
        <v>184409.69</v>
      </c>
      <c r="L145" s="80">
        <v>879625</v>
      </c>
      <c r="M145" s="201">
        <v>-0.79</v>
      </c>
      <c r="N145" s="80">
        <v>831747.08000000101</v>
      </c>
      <c r="O145" s="201">
        <v>-0.78</v>
      </c>
      <c r="P145" s="80">
        <v>6473.6842105263204</v>
      </c>
      <c r="Q145" s="80">
        <v>0</v>
      </c>
      <c r="R145" s="202">
        <v>0</v>
      </c>
    </row>
    <row r="146" spans="1:18" ht="14.25" customHeight="1">
      <c r="A146" s="193" t="s">
        <v>50</v>
      </c>
      <c r="B146" s="194" t="s">
        <v>141</v>
      </c>
      <c r="C146" s="194" t="s">
        <v>145</v>
      </c>
      <c r="D146" s="86" t="s">
        <v>49</v>
      </c>
      <c r="E146" s="126">
        <v>1243.32</v>
      </c>
      <c r="F146" s="85">
        <v>6933.8999938964798</v>
      </c>
      <c r="G146" s="85">
        <v>14583.333333333299</v>
      </c>
      <c r="H146" s="195">
        <v>-0.52</v>
      </c>
      <c r="I146" s="85">
        <v>26530.6296234131</v>
      </c>
      <c r="J146" s="195">
        <v>-0.74</v>
      </c>
      <c r="K146" s="85">
        <v>321774.05163192702</v>
      </c>
      <c r="L146" s="85">
        <v>406583.33333333302</v>
      </c>
      <c r="M146" s="195">
        <v>-0.21</v>
      </c>
      <c r="N146" s="85">
        <v>392981.80076599098</v>
      </c>
      <c r="O146" s="195">
        <v>-0.18</v>
      </c>
      <c r="P146" s="85">
        <v>3319.2684213738698</v>
      </c>
      <c r="Q146" s="85">
        <v>2168.3330833333298</v>
      </c>
      <c r="R146" s="196">
        <v>0</v>
      </c>
    </row>
    <row r="147" spans="1:18" ht="14.25" customHeight="1">
      <c r="A147" s="197" t="s">
        <v>50</v>
      </c>
      <c r="B147" s="192" t="s">
        <v>141</v>
      </c>
      <c r="C147" s="192" t="s">
        <v>145</v>
      </c>
      <c r="D147" s="84" t="s">
        <v>191</v>
      </c>
      <c r="E147" s="127">
        <v>221.83</v>
      </c>
      <c r="F147" s="83">
        <v>1673.8300018310499</v>
      </c>
      <c r="G147" s="83">
        <v>2083.3333333333298</v>
      </c>
      <c r="H147" s="82">
        <v>-0.2</v>
      </c>
      <c r="I147" s="83">
        <v>9717.0399093627893</v>
      </c>
      <c r="J147" s="82">
        <v>-0.83</v>
      </c>
      <c r="K147" s="83">
        <v>83389.060274124102</v>
      </c>
      <c r="L147" s="83">
        <v>147083.33333333299</v>
      </c>
      <c r="M147" s="82">
        <v>-0.43</v>
      </c>
      <c r="N147" s="83">
        <v>81416.550136566206</v>
      </c>
      <c r="O147" s="82">
        <v>0.02</v>
      </c>
      <c r="P147" s="83">
        <v>438.21947358784001</v>
      </c>
      <c r="Q147" s="83">
        <v>403.33333333333297</v>
      </c>
      <c r="R147" s="198">
        <v>0</v>
      </c>
    </row>
    <row r="148" spans="1:18" ht="14.25" customHeight="1">
      <c r="A148" s="197" t="s">
        <v>50</v>
      </c>
      <c r="B148" s="192" t="s">
        <v>141</v>
      </c>
      <c r="C148" s="192" t="s">
        <v>145</v>
      </c>
      <c r="D148" s="84" t="s">
        <v>47</v>
      </c>
      <c r="E148" s="127">
        <v>283.86</v>
      </c>
      <c r="F148" s="83">
        <v>2596.46996688843</v>
      </c>
      <c r="G148" s="83">
        <v>2500</v>
      </c>
      <c r="H148" s="82">
        <v>0.04</v>
      </c>
      <c r="I148" s="83">
        <v>5482.3800029754602</v>
      </c>
      <c r="J148" s="82">
        <v>-0.53</v>
      </c>
      <c r="K148" s="83">
        <v>149338.65929842001</v>
      </c>
      <c r="L148" s="83">
        <v>378500</v>
      </c>
      <c r="M148" s="82">
        <v>-0.61</v>
      </c>
      <c r="N148" s="83">
        <v>343192.65767288202</v>
      </c>
      <c r="O148" s="82">
        <v>-0.56000000000000005</v>
      </c>
      <c r="P148" s="83">
        <v>494.92263332166198</v>
      </c>
      <c r="Q148" s="83">
        <v>1200.0893333333299</v>
      </c>
      <c r="R148" s="198">
        <v>0</v>
      </c>
    </row>
    <row r="149" spans="1:18" ht="14.25" customHeight="1">
      <c r="A149" s="197" t="s">
        <v>50</v>
      </c>
      <c r="B149" s="192" t="s">
        <v>141</v>
      </c>
      <c r="C149" s="192" t="s">
        <v>145</v>
      </c>
      <c r="D149" s="84" t="s">
        <v>62</v>
      </c>
      <c r="E149" s="127">
        <v>0</v>
      </c>
      <c r="F149" s="83">
        <v>0</v>
      </c>
      <c r="G149" s="83">
        <v>0</v>
      </c>
      <c r="H149" s="82" t="s">
        <v>15</v>
      </c>
      <c r="I149" s="83">
        <v>7974.0800323486301</v>
      </c>
      <c r="J149" s="82">
        <v>-1</v>
      </c>
      <c r="K149" s="83">
        <v>11753.320059776301</v>
      </c>
      <c r="L149" s="83">
        <v>0</v>
      </c>
      <c r="M149" s="82" t="s">
        <v>15</v>
      </c>
      <c r="N149" s="83">
        <v>32711.4999389648</v>
      </c>
      <c r="O149" s="82">
        <v>-0.64</v>
      </c>
      <c r="P149" s="83">
        <v>0</v>
      </c>
      <c r="Q149" s="83">
        <v>0</v>
      </c>
      <c r="R149" s="198">
        <v>0</v>
      </c>
    </row>
    <row r="150" spans="1:18" ht="14.25" customHeight="1">
      <c r="A150" s="197" t="s">
        <v>50</v>
      </c>
      <c r="B150" s="192" t="s">
        <v>141</v>
      </c>
      <c r="C150" s="192" t="s">
        <v>145</v>
      </c>
      <c r="D150" s="84" t="s">
        <v>6</v>
      </c>
      <c r="E150" s="127">
        <v>0</v>
      </c>
      <c r="F150" s="83">
        <v>0</v>
      </c>
      <c r="G150" s="83">
        <v>0</v>
      </c>
      <c r="H150" s="82" t="s">
        <v>15</v>
      </c>
      <c r="I150" s="83">
        <v>2312</v>
      </c>
      <c r="J150" s="82">
        <v>-1</v>
      </c>
      <c r="K150" s="83">
        <v>2770.5</v>
      </c>
      <c r="L150" s="83">
        <v>0</v>
      </c>
      <c r="M150" s="82" t="s">
        <v>15</v>
      </c>
      <c r="N150" s="83">
        <v>8227.25</v>
      </c>
      <c r="O150" s="82">
        <v>-0.66</v>
      </c>
      <c r="P150" s="83">
        <v>0</v>
      </c>
      <c r="Q150" s="83">
        <v>0</v>
      </c>
      <c r="R150" s="198">
        <v>0</v>
      </c>
    </row>
    <row r="151" spans="1:18" ht="14.25" customHeight="1">
      <c r="A151" s="197" t="s">
        <v>50</v>
      </c>
      <c r="B151" s="192" t="s">
        <v>141</v>
      </c>
      <c r="C151" s="192" t="s">
        <v>145</v>
      </c>
      <c r="D151" s="84" t="s">
        <v>61</v>
      </c>
      <c r="E151" s="127">
        <v>0</v>
      </c>
      <c r="F151" s="83">
        <v>0</v>
      </c>
      <c r="G151" s="83">
        <v>0</v>
      </c>
      <c r="H151" s="82" t="s">
        <v>15</v>
      </c>
      <c r="I151" s="83">
        <v>2390.0999908447302</v>
      </c>
      <c r="J151" s="82">
        <v>-1</v>
      </c>
      <c r="K151" s="83">
        <v>1277.9399890899699</v>
      </c>
      <c r="L151" s="83">
        <v>0</v>
      </c>
      <c r="M151" s="82" t="s">
        <v>15</v>
      </c>
      <c r="N151" s="83">
        <v>8497.0100622177106</v>
      </c>
      <c r="O151" s="82">
        <v>-0.85</v>
      </c>
      <c r="P151" s="83">
        <v>0</v>
      </c>
      <c r="Q151" s="83">
        <v>0</v>
      </c>
      <c r="R151" s="198">
        <v>0</v>
      </c>
    </row>
    <row r="152" spans="1:18" ht="14.25" customHeight="1">
      <c r="A152" s="197" t="s">
        <v>50</v>
      </c>
      <c r="B152" s="192" t="s">
        <v>141</v>
      </c>
      <c r="C152" s="192" t="s">
        <v>145</v>
      </c>
      <c r="D152" s="84" t="s">
        <v>154</v>
      </c>
      <c r="E152" s="127">
        <v>0</v>
      </c>
      <c r="F152" s="83">
        <v>0</v>
      </c>
      <c r="G152" s="83">
        <v>0</v>
      </c>
      <c r="H152" s="82" t="s">
        <v>15</v>
      </c>
      <c r="I152" s="83">
        <v>0</v>
      </c>
      <c r="J152" s="82" t="s">
        <v>15</v>
      </c>
      <c r="K152" s="83">
        <v>0</v>
      </c>
      <c r="L152" s="83">
        <v>0</v>
      </c>
      <c r="M152" s="82" t="s">
        <v>15</v>
      </c>
      <c r="N152" s="83">
        <v>0</v>
      </c>
      <c r="O152" s="82" t="s">
        <v>15</v>
      </c>
      <c r="P152" s="83">
        <v>0</v>
      </c>
      <c r="Q152" s="83">
        <v>0</v>
      </c>
      <c r="R152" s="198">
        <v>0</v>
      </c>
    </row>
    <row r="153" spans="1:18" ht="14.25" customHeight="1" thickBot="1">
      <c r="A153" s="199" t="s">
        <v>50</v>
      </c>
      <c r="B153" s="200" t="s">
        <v>141</v>
      </c>
      <c r="C153" s="200" t="s">
        <v>145</v>
      </c>
      <c r="D153" s="81" t="s">
        <v>60</v>
      </c>
      <c r="E153" s="128">
        <v>3304.69</v>
      </c>
      <c r="F153" s="80">
        <v>19062.05</v>
      </c>
      <c r="G153" s="80">
        <v>31250</v>
      </c>
      <c r="H153" s="201">
        <v>-0.39</v>
      </c>
      <c r="I153" s="80">
        <v>93072.17</v>
      </c>
      <c r="J153" s="201">
        <v>-0.8</v>
      </c>
      <c r="K153" s="80">
        <v>947083.39</v>
      </c>
      <c r="L153" s="80">
        <v>1316250</v>
      </c>
      <c r="M153" s="201">
        <v>-0.28000000000000003</v>
      </c>
      <c r="N153" s="80">
        <v>1286114.94</v>
      </c>
      <c r="O153" s="201">
        <v>-0.26</v>
      </c>
      <c r="P153" s="80">
        <v>6891.4710526315803</v>
      </c>
      <c r="Q153" s="80">
        <v>6325.8807500000003</v>
      </c>
      <c r="R153" s="202">
        <v>0</v>
      </c>
    </row>
    <row r="154" spans="1:18" ht="14.25" customHeight="1">
      <c r="A154" s="193" t="s">
        <v>50</v>
      </c>
      <c r="B154" s="194" t="s">
        <v>138</v>
      </c>
      <c r="C154" s="194" t="s">
        <v>103</v>
      </c>
      <c r="D154" s="86" t="s">
        <v>49</v>
      </c>
      <c r="E154" s="126">
        <v>0</v>
      </c>
      <c r="F154" s="85">
        <v>0</v>
      </c>
      <c r="G154" s="85">
        <v>0</v>
      </c>
      <c r="H154" s="195" t="s">
        <v>15</v>
      </c>
      <c r="I154" s="85">
        <v>12982.280090332</v>
      </c>
      <c r="J154" s="195">
        <v>-1</v>
      </c>
      <c r="K154" s="85">
        <v>1799.7899627685499</v>
      </c>
      <c r="L154" s="85">
        <v>0</v>
      </c>
      <c r="M154" s="195" t="s">
        <v>15</v>
      </c>
      <c r="N154" s="85">
        <v>19460.090042114301</v>
      </c>
      <c r="O154" s="195">
        <v>-0.91</v>
      </c>
      <c r="P154" s="85">
        <v>0</v>
      </c>
      <c r="Q154" s="85">
        <v>0</v>
      </c>
      <c r="R154" s="196">
        <v>0</v>
      </c>
    </row>
    <row r="155" spans="1:18" ht="14.25" customHeight="1">
      <c r="A155" s="197" t="s">
        <v>50</v>
      </c>
      <c r="B155" s="192" t="s">
        <v>138</v>
      </c>
      <c r="C155" s="192" t="s">
        <v>103</v>
      </c>
      <c r="D155" s="84" t="s">
        <v>191</v>
      </c>
      <c r="E155" s="127">
        <v>0</v>
      </c>
      <c r="F155" s="83">
        <v>0</v>
      </c>
      <c r="G155" s="83">
        <v>0</v>
      </c>
      <c r="H155" s="82" t="s">
        <v>15</v>
      </c>
      <c r="I155" s="83">
        <v>3004.8399734497102</v>
      </c>
      <c r="J155" s="82">
        <v>-1</v>
      </c>
      <c r="K155" s="83">
        <v>1179.75001525879</v>
      </c>
      <c r="L155" s="83">
        <v>0</v>
      </c>
      <c r="M155" s="82" t="s">
        <v>15</v>
      </c>
      <c r="N155" s="83">
        <v>4053.48997879028</v>
      </c>
      <c r="O155" s="82">
        <v>-0.71</v>
      </c>
      <c r="P155" s="83">
        <v>0</v>
      </c>
      <c r="Q155" s="83">
        <v>0</v>
      </c>
      <c r="R155" s="198">
        <v>0</v>
      </c>
    </row>
    <row r="156" spans="1:18" ht="14.25" customHeight="1">
      <c r="A156" s="197" t="s">
        <v>50</v>
      </c>
      <c r="B156" s="192" t="s">
        <v>138</v>
      </c>
      <c r="C156" s="192" t="s">
        <v>103</v>
      </c>
      <c r="D156" s="84" t="s">
        <v>47</v>
      </c>
      <c r="E156" s="127">
        <v>0</v>
      </c>
      <c r="F156" s="83">
        <v>0</v>
      </c>
      <c r="G156" s="83">
        <v>0</v>
      </c>
      <c r="H156" s="82" t="s">
        <v>15</v>
      </c>
      <c r="I156" s="83">
        <v>1612.6600151062</v>
      </c>
      <c r="J156" s="82">
        <v>-1</v>
      </c>
      <c r="K156" s="83">
        <v>964.58999443054199</v>
      </c>
      <c r="L156" s="83">
        <v>0</v>
      </c>
      <c r="M156" s="82" t="s">
        <v>15</v>
      </c>
      <c r="N156" s="83">
        <v>2070.1700172424298</v>
      </c>
      <c r="O156" s="82">
        <v>-0.53</v>
      </c>
      <c r="P156" s="83">
        <v>0</v>
      </c>
      <c r="Q156" s="83">
        <v>0</v>
      </c>
      <c r="R156" s="198">
        <v>0</v>
      </c>
    </row>
    <row r="157" spans="1:18" ht="14.25" customHeight="1">
      <c r="A157" s="197" t="s">
        <v>50</v>
      </c>
      <c r="B157" s="192" t="s">
        <v>138</v>
      </c>
      <c r="C157" s="192" t="s">
        <v>103</v>
      </c>
      <c r="D157" s="84" t="s">
        <v>62</v>
      </c>
      <c r="E157" s="127">
        <v>1281.92</v>
      </c>
      <c r="F157" s="83">
        <v>7317.99998092651</v>
      </c>
      <c r="G157" s="83">
        <v>16666.666666666701</v>
      </c>
      <c r="H157" s="82">
        <v>-0.56000000000000005</v>
      </c>
      <c r="I157" s="83">
        <v>70734.300338745103</v>
      </c>
      <c r="J157" s="82">
        <v>-0.9</v>
      </c>
      <c r="K157" s="83">
        <v>418838.72934341402</v>
      </c>
      <c r="L157" s="83">
        <v>458666.66666666698</v>
      </c>
      <c r="M157" s="82">
        <v>-0.09</v>
      </c>
      <c r="N157" s="83">
        <v>461397.59195995302</v>
      </c>
      <c r="O157" s="82">
        <v>-0.09</v>
      </c>
      <c r="P157" s="83">
        <v>3825.3684220565001</v>
      </c>
      <c r="Q157" s="83">
        <v>3414.0833333333298</v>
      </c>
      <c r="R157" s="198">
        <v>0</v>
      </c>
    </row>
    <row r="158" spans="1:18" ht="14.25" customHeight="1">
      <c r="A158" s="197" t="s">
        <v>50</v>
      </c>
      <c r="B158" s="192" t="s">
        <v>138</v>
      </c>
      <c r="C158" s="192" t="s">
        <v>103</v>
      </c>
      <c r="D158" s="84" t="s">
        <v>6</v>
      </c>
      <c r="E158" s="127">
        <v>1082.08</v>
      </c>
      <c r="F158" s="83">
        <v>4065.4100036621098</v>
      </c>
      <c r="G158" s="83">
        <v>8333.3333333333303</v>
      </c>
      <c r="H158" s="82">
        <v>-0.51</v>
      </c>
      <c r="I158" s="83">
        <v>35352.599960327098</v>
      </c>
      <c r="J158" s="82">
        <v>-0.89</v>
      </c>
      <c r="K158" s="83">
        <v>143725.46044540399</v>
      </c>
      <c r="L158" s="83">
        <v>179333.33333333299</v>
      </c>
      <c r="M158" s="82">
        <v>-0.2</v>
      </c>
      <c r="N158" s="83">
        <v>187563.930206299</v>
      </c>
      <c r="O158" s="82">
        <v>-0.23</v>
      </c>
      <c r="P158" s="83">
        <v>1891.2942103335699</v>
      </c>
      <c r="Q158" s="83">
        <v>1243.8333333333301</v>
      </c>
      <c r="R158" s="198">
        <v>0</v>
      </c>
    </row>
    <row r="159" spans="1:18" ht="14.25" customHeight="1">
      <c r="A159" s="197" t="s">
        <v>50</v>
      </c>
      <c r="B159" s="192" t="s">
        <v>138</v>
      </c>
      <c r="C159" s="192" t="s">
        <v>103</v>
      </c>
      <c r="D159" s="84" t="s">
        <v>61</v>
      </c>
      <c r="E159" s="127">
        <v>1552.08</v>
      </c>
      <c r="F159" s="83">
        <v>6336.20021438599</v>
      </c>
      <c r="G159" s="83">
        <v>5416.6666666666697</v>
      </c>
      <c r="H159" s="82">
        <v>0.17</v>
      </c>
      <c r="I159" s="83">
        <v>25598.920227050799</v>
      </c>
      <c r="J159" s="82">
        <v>-0.75</v>
      </c>
      <c r="K159" s="83">
        <v>115465.619564056</v>
      </c>
      <c r="L159" s="83">
        <v>117416.66666666701</v>
      </c>
      <c r="M159" s="82">
        <v>-0.02</v>
      </c>
      <c r="N159" s="83">
        <v>117988.22973632799</v>
      </c>
      <c r="O159" s="82">
        <v>-0.02</v>
      </c>
      <c r="P159" s="83">
        <v>1034.93683082179</v>
      </c>
      <c r="Q159" s="83">
        <v>1780.7474999999999</v>
      </c>
      <c r="R159" s="198">
        <v>0</v>
      </c>
    </row>
    <row r="160" spans="1:18" ht="14.25" customHeight="1">
      <c r="A160" s="197" t="s">
        <v>50</v>
      </c>
      <c r="B160" s="192" t="s">
        <v>138</v>
      </c>
      <c r="C160" s="192" t="s">
        <v>103</v>
      </c>
      <c r="D160" s="84" t="s">
        <v>154</v>
      </c>
      <c r="E160" s="127">
        <v>0</v>
      </c>
      <c r="F160" s="83">
        <v>0</v>
      </c>
      <c r="G160" s="83">
        <v>0</v>
      </c>
      <c r="H160" s="82" t="s">
        <v>15</v>
      </c>
      <c r="I160" s="83">
        <v>0</v>
      </c>
      <c r="J160" s="82" t="s">
        <v>15</v>
      </c>
      <c r="K160" s="83">
        <v>0</v>
      </c>
      <c r="L160" s="83">
        <v>0</v>
      </c>
      <c r="M160" s="82" t="s">
        <v>15</v>
      </c>
      <c r="N160" s="83">
        <v>0</v>
      </c>
      <c r="O160" s="82" t="s">
        <v>15</v>
      </c>
      <c r="P160" s="83">
        <v>0</v>
      </c>
      <c r="Q160" s="83">
        <v>0</v>
      </c>
      <c r="R160" s="198">
        <v>0</v>
      </c>
    </row>
    <row r="161" spans="1:18" ht="14.25" customHeight="1" thickBot="1">
      <c r="A161" s="199" t="s">
        <v>50</v>
      </c>
      <c r="B161" s="200" t="s">
        <v>138</v>
      </c>
      <c r="C161" s="200" t="s">
        <v>103</v>
      </c>
      <c r="D161" s="81" t="s">
        <v>60</v>
      </c>
      <c r="E161" s="128">
        <v>5459.94</v>
      </c>
      <c r="F161" s="80">
        <v>24483.05</v>
      </c>
      <c r="G161" s="80">
        <v>37500</v>
      </c>
      <c r="H161" s="201">
        <v>-0.35</v>
      </c>
      <c r="I161" s="80">
        <v>208406.97</v>
      </c>
      <c r="J161" s="201">
        <v>-0.88</v>
      </c>
      <c r="K161" s="80">
        <v>1054158.8</v>
      </c>
      <c r="L161" s="80">
        <v>1115500</v>
      </c>
      <c r="M161" s="201">
        <v>-0.05</v>
      </c>
      <c r="N161" s="80">
        <v>1207116.69</v>
      </c>
      <c r="O161" s="201">
        <v>-0.13</v>
      </c>
      <c r="P161" s="80">
        <v>8185.1026315789504</v>
      </c>
      <c r="Q161" s="80">
        <v>9206.9825000000001</v>
      </c>
      <c r="R161" s="202">
        <v>0</v>
      </c>
    </row>
    <row r="162" spans="1:18" ht="14.25" customHeight="1">
      <c r="A162" s="193" t="s">
        <v>50</v>
      </c>
      <c r="B162" s="194" t="s">
        <v>139</v>
      </c>
      <c r="C162" s="194" t="s">
        <v>169</v>
      </c>
      <c r="D162" s="86" t="s">
        <v>49</v>
      </c>
      <c r="E162" s="126">
        <v>0</v>
      </c>
      <c r="F162" s="85">
        <v>0</v>
      </c>
      <c r="G162" s="85">
        <v>0</v>
      </c>
      <c r="H162" s="195" t="s">
        <v>15</v>
      </c>
      <c r="I162" s="85">
        <v>0</v>
      </c>
      <c r="J162" s="195" t="s">
        <v>15</v>
      </c>
      <c r="K162" s="85">
        <v>11887.9600887299</v>
      </c>
      <c r="L162" s="85">
        <v>0</v>
      </c>
      <c r="M162" s="195" t="s">
        <v>15</v>
      </c>
      <c r="N162" s="85">
        <v>12827.6501922607</v>
      </c>
      <c r="O162" s="195">
        <v>-7.0000000000000007E-2</v>
      </c>
      <c r="P162" s="85">
        <v>0</v>
      </c>
      <c r="Q162" s="85">
        <v>0</v>
      </c>
      <c r="R162" s="196">
        <v>0</v>
      </c>
    </row>
    <row r="163" spans="1:18" ht="14.25" customHeight="1">
      <c r="A163" s="197" t="s">
        <v>50</v>
      </c>
      <c r="B163" s="192" t="s">
        <v>139</v>
      </c>
      <c r="C163" s="192" t="s">
        <v>169</v>
      </c>
      <c r="D163" s="84" t="s">
        <v>191</v>
      </c>
      <c r="E163" s="127">
        <v>0</v>
      </c>
      <c r="F163" s="83">
        <v>0</v>
      </c>
      <c r="G163" s="83">
        <v>0</v>
      </c>
      <c r="H163" s="82" t="s">
        <v>15</v>
      </c>
      <c r="I163" s="83">
        <v>0</v>
      </c>
      <c r="J163" s="82" t="s">
        <v>15</v>
      </c>
      <c r="K163" s="83">
        <v>2167.8899593353299</v>
      </c>
      <c r="L163" s="83">
        <v>0</v>
      </c>
      <c r="M163" s="82" t="s">
        <v>15</v>
      </c>
      <c r="N163" s="83">
        <v>3458.6299285888699</v>
      </c>
      <c r="O163" s="82">
        <v>-0.37</v>
      </c>
      <c r="P163" s="83">
        <v>0</v>
      </c>
      <c r="Q163" s="83">
        <v>0</v>
      </c>
      <c r="R163" s="198">
        <v>0</v>
      </c>
    </row>
    <row r="164" spans="1:18" ht="14.25" customHeight="1">
      <c r="A164" s="197" t="s">
        <v>50</v>
      </c>
      <c r="B164" s="192" t="s">
        <v>139</v>
      </c>
      <c r="C164" s="192" t="s">
        <v>169</v>
      </c>
      <c r="D164" s="84" t="s">
        <v>47</v>
      </c>
      <c r="E164" s="127">
        <v>0</v>
      </c>
      <c r="F164" s="83">
        <v>0</v>
      </c>
      <c r="G164" s="83">
        <v>0</v>
      </c>
      <c r="H164" s="82" t="s">
        <v>15</v>
      </c>
      <c r="I164" s="83">
        <v>0</v>
      </c>
      <c r="J164" s="82" t="s">
        <v>15</v>
      </c>
      <c r="K164" s="83">
        <v>3121.8400287628201</v>
      </c>
      <c r="L164" s="83">
        <v>0</v>
      </c>
      <c r="M164" s="82" t="s">
        <v>15</v>
      </c>
      <c r="N164" s="83">
        <v>4612.9700307846097</v>
      </c>
      <c r="O164" s="82">
        <v>-0.32</v>
      </c>
      <c r="P164" s="83">
        <v>0</v>
      </c>
      <c r="Q164" s="83">
        <v>0</v>
      </c>
      <c r="R164" s="198">
        <v>0</v>
      </c>
    </row>
    <row r="165" spans="1:18" ht="14.25" customHeight="1">
      <c r="A165" s="197" t="s">
        <v>50</v>
      </c>
      <c r="B165" s="192" t="s">
        <v>139</v>
      </c>
      <c r="C165" s="192" t="s">
        <v>169</v>
      </c>
      <c r="D165" s="84" t="s">
        <v>62</v>
      </c>
      <c r="E165" s="127">
        <v>1770.34</v>
      </c>
      <c r="F165" s="83">
        <v>9955.7600555419904</v>
      </c>
      <c r="G165" s="83">
        <v>16666.666666666701</v>
      </c>
      <c r="H165" s="82">
        <v>-0.4</v>
      </c>
      <c r="I165" s="83">
        <v>64883.099716186502</v>
      </c>
      <c r="J165" s="82">
        <v>-0.85</v>
      </c>
      <c r="K165" s="83">
        <v>385846.09073734301</v>
      </c>
      <c r="L165" s="83">
        <v>507666.66666666698</v>
      </c>
      <c r="M165" s="82">
        <v>-0.24</v>
      </c>
      <c r="N165" s="83">
        <v>502963.41922759998</v>
      </c>
      <c r="O165" s="82">
        <v>-0.23</v>
      </c>
      <c r="P165" s="83">
        <v>3686.5389444451598</v>
      </c>
      <c r="Q165" s="83">
        <v>1240.1666666666699</v>
      </c>
      <c r="R165" s="198">
        <v>0</v>
      </c>
    </row>
    <row r="166" spans="1:18" ht="14.25" customHeight="1">
      <c r="A166" s="197" t="s">
        <v>50</v>
      </c>
      <c r="B166" s="192" t="s">
        <v>139</v>
      </c>
      <c r="C166" s="192" t="s">
        <v>169</v>
      </c>
      <c r="D166" s="84" t="s">
        <v>6</v>
      </c>
      <c r="E166" s="127">
        <v>1570.5</v>
      </c>
      <c r="F166" s="83">
        <v>7761.5800018310501</v>
      </c>
      <c r="G166" s="83">
        <v>9375</v>
      </c>
      <c r="H166" s="82">
        <v>-0.17</v>
      </c>
      <c r="I166" s="83">
        <v>38133.0702514648</v>
      </c>
      <c r="J166" s="82">
        <v>-0.8</v>
      </c>
      <c r="K166" s="83">
        <v>147994.61987304699</v>
      </c>
      <c r="L166" s="83">
        <v>207375</v>
      </c>
      <c r="M166" s="82">
        <v>-0.28999999999999998</v>
      </c>
      <c r="N166" s="83">
        <v>232101.95112609901</v>
      </c>
      <c r="O166" s="82">
        <v>-0.36</v>
      </c>
      <c r="P166" s="83">
        <v>1959.9168420088899</v>
      </c>
      <c r="Q166" s="83">
        <v>814.58333333333303</v>
      </c>
      <c r="R166" s="198">
        <v>0</v>
      </c>
    </row>
    <row r="167" spans="1:18" ht="14.25" customHeight="1">
      <c r="A167" s="197" t="s">
        <v>50</v>
      </c>
      <c r="B167" s="192" t="s">
        <v>139</v>
      </c>
      <c r="C167" s="192" t="s">
        <v>169</v>
      </c>
      <c r="D167" s="84" t="s">
        <v>61</v>
      </c>
      <c r="E167" s="127">
        <v>741.49</v>
      </c>
      <c r="F167" s="83">
        <v>6082.8799438476599</v>
      </c>
      <c r="G167" s="83">
        <v>5208.3333333333303</v>
      </c>
      <c r="H167" s="82">
        <v>0.17</v>
      </c>
      <c r="I167" s="83">
        <v>18948.459838867198</v>
      </c>
      <c r="J167" s="82">
        <v>-0.68</v>
      </c>
      <c r="K167" s="83">
        <v>90649.389564514204</v>
      </c>
      <c r="L167" s="83">
        <v>150208.33333333299</v>
      </c>
      <c r="M167" s="82">
        <v>-0.4</v>
      </c>
      <c r="N167" s="83">
        <v>129723.549861908</v>
      </c>
      <c r="O167" s="82">
        <v>-0.3</v>
      </c>
      <c r="P167" s="83">
        <v>995.63789769222797</v>
      </c>
      <c r="Q167" s="83">
        <v>627.75</v>
      </c>
      <c r="R167" s="198">
        <v>0</v>
      </c>
    </row>
    <row r="168" spans="1:18" ht="14.25" customHeight="1">
      <c r="A168" s="197" t="s">
        <v>50</v>
      </c>
      <c r="B168" s="192" t="s">
        <v>139</v>
      </c>
      <c r="C168" s="192" t="s">
        <v>169</v>
      </c>
      <c r="D168" s="84" t="s">
        <v>154</v>
      </c>
      <c r="E168" s="127">
        <v>0</v>
      </c>
      <c r="F168" s="83">
        <v>0</v>
      </c>
      <c r="G168" s="83">
        <v>0</v>
      </c>
      <c r="H168" s="82" t="s">
        <v>15</v>
      </c>
      <c r="I168" s="83">
        <v>0</v>
      </c>
      <c r="J168" s="82" t="s">
        <v>15</v>
      </c>
      <c r="K168" s="83">
        <v>0</v>
      </c>
      <c r="L168" s="83">
        <v>0</v>
      </c>
      <c r="M168" s="82" t="s">
        <v>15</v>
      </c>
      <c r="N168" s="83">
        <v>0</v>
      </c>
      <c r="O168" s="82" t="s">
        <v>15</v>
      </c>
      <c r="P168" s="83">
        <v>0</v>
      </c>
      <c r="Q168" s="83">
        <v>0</v>
      </c>
      <c r="R168" s="198">
        <v>0</v>
      </c>
    </row>
    <row r="169" spans="1:18" ht="14.25" customHeight="1" thickBot="1">
      <c r="A169" s="199" t="s">
        <v>50</v>
      </c>
      <c r="B169" s="200" t="s">
        <v>139</v>
      </c>
      <c r="C169" s="200" t="s">
        <v>169</v>
      </c>
      <c r="D169" s="81" t="s">
        <v>60</v>
      </c>
      <c r="E169" s="128">
        <v>6018.36</v>
      </c>
      <c r="F169" s="80">
        <v>35569.58</v>
      </c>
      <c r="G169" s="80">
        <v>37500</v>
      </c>
      <c r="H169" s="201">
        <v>-0.05</v>
      </c>
      <c r="I169" s="80">
        <v>167883.28</v>
      </c>
      <c r="J169" s="201">
        <v>-0.79</v>
      </c>
      <c r="K169" s="80">
        <v>1004184.7</v>
      </c>
      <c r="L169" s="80">
        <v>1297500</v>
      </c>
      <c r="M169" s="201">
        <v>-0.23</v>
      </c>
      <c r="N169" s="80">
        <v>1346018.98</v>
      </c>
      <c r="O169" s="201">
        <v>-0.25</v>
      </c>
      <c r="P169" s="80">
        <v>7601.6010526315804</v>
      </c>
      <c r="Q169" s="80">
        <v>5379.9</v>
      </c>
      <c r="R169" s="202">
        <v>0</v>
      </c>
    </row>
    <row r="170" spans="1:18" ht="14.25" customHeight="1">
      <c r="A170" s="193" t="s">
        <v>50</v>
      </c>
      <c r="B170" s="194" t="s">
        <v>140</v>
      </c>
      <c r="C170" s="194" t="s">
        <v>104</v>
      </c>
      <c r="D170" s="86" t="s">
        <v>49</v>
      </c>
      <c r="E170" s="126">
        <v>7866.47</v>
      </c>
      <c r="F170" s="85">
        <v>13629.4304199219</v>
      </c>
      <c r="G170" s="85">
        <v>13541.666666666701</v>
      </c>
      <c r="H170" s="195">
        <v>0.01</v>
      </c>
      <c r="I170" s="85">
        <v>60258.739746093801</v>
      </c>
      <c r="J170" s="195">
        <v>-0.77</v>
      </c>
      <c r="K170" s="85">
        <v>331061.45338439901</v>
      </c>
      <c r="L170" s="85">
        <v>486541.66666666698</v>
      </c>
      <c r="M170" s="195">
        <v>-0.32</v>
      </c>
      <c r="N170" s="85">
        <v>458296.106298447</v>
      </c>
      <c r="O170" s="195">
        <v>-0.28000000000000003</v>
      </c>
      <c r="P170" s="85">
        <v>2703.71418842516</v>
      </c>
      <c r="Q170" s="85">
        <v>3029.54158333333</v>
      </c>
      <c r="R170" s="196">
        <v>0</v>
      </c>
    </row>
    <row r="171" spans="1:18" ht="14.25" customHeight="1">
      <c r="A171" s="197" t="s">
        <v>50</v>
      </c>
      <c r="B171" s="192" t="s">
        <v>140</v>
      </c>
      <c r="C171" s="192" t="s">
        <v>104</v>
      </c>
      <c r="D171" s="84" t="s">
        <v>191</v>
      </c>
      <c r="E171" s="127">
        <v>373.09</v>
      </c>
      <c r="F171" s="83">
        <v>1885.6599807739301</v>
      </c>
      <c r="G171" s="83">
        <v>4166.6666666666697</v>
      </c>
      <c r="H171" s="82">
        <v>-0.55000000000000004</v>
      </c>
      <c r="I171" s="83">
        <v>16264.439971923801</v>
      </c>
      <c r="J171" s="82">
        <v>-0.88</v>
      </c>
      <c r="K171" s="83">
        <v>85661.509641418204</v>
      </c>
      <c r="L171" s="83">
        <v>137166.66666666701</v>
      </c>
      <c r="M171" s="82">
        <v>-0.38</v>
      </c>
      <c r="N171" s="83">
        <v>92139.950073242202</v>
      </c>
      <c r="O171" s="82">
        <v>-7.0000000000000007E-2</v>
      </c>
      <c r="P171" s="83">
        <v>953.386316801372</v>
      </c>
      <c r="Q171" s="83">
        <v>816.75</v>
      </c>
      <c r="R171" s="198">
        <v>0</v>
      </c>
    </row>
    <row r="172" spans="1:18" ht="14.25" customHeight="1">
      <c r="A172" s="197" t="s">
        <v>50</v>
      </c>
      <c r="B172" s="192" t="s">
        <v>140</v>
      </c>
      <c r="C172" s="192" t="s">
        <v>104</v>
      </c>
      <c r="D172" s="84" t="s">
        <v>47</v>
      </c>
      <c r="E172" s="127">
        <v>1669.2</v>
      </c>
      <c r="F172" s="83">
        <v>3980.1099586486798</v>
      </c>
      <c r="G172" s="83">
        <v>5208.3333333333303</v>
      </c>
      <c r="H172" s="82">
        <v>-0.24</v>
      </c>
      <c r="I172" s="83">
        <v>22645.430007934599</v>
      </c>
      <c r="J172" s="82">
        <v>-0.82</v>
      </c>
      <c r="K172" s="83">
        <v>187402.04132461501</v>
      </c>
      <c r="L172" s="83">
        <v>317208.33333333302</v>
      </c>
      <c r="M172" s="82">
        <v>-0.41</v>
      </c>
      <c r="N172" s="83">
        <v>311638.55089998199</v>
      </c>
      <c r="O172" s="82">
        <v>-0.4</v>
      </c>
      <c r="P172" s="83">
        <v>1106.3100021763901</v>
      </c>
      <c r="Q172" s="83">
        <v>641.42066583333303</v>
      </c>
      <c r="R172" s="198">
        <v>0</v>
      </c>
    </row>
    <row r="173" spans="1:18" ht="14.25" customHeight="1">
      <c r="A173" s="197" t="s">
        <v>50</v>
      </c>
      <c r="B173" s="192" t="s">
        <v>140</v>
      </c>
      <c r="C173" s="192" t="s">
        <v>104</v>
      </c>
      <c r="D173" s="84" t="s">
        <v>62</v>
      </c>
      <c r="E173" s="127">
        <v>0</v>
      </c>
      <c r="F173" s="83">
        <v>0</v>
      </c>
      <c r="G173" s="83">
        <v>0</v>
      </c>
      <c r="H173" s="82" t="s">
        <v>15</v>
      </c>
      <c r="I173" s="83">
        <v>0</v>
      </c>
      <c r="J173" s="82" t="s">
        <v>15</v>
      </c>
      <c r="K173" s="83">
        <v>5694.7399425506601</v>
      </c>
      <c r="L173" s="83">
        <v>0</v>
      </c>
      <c r="M173" s="82" t="s">
        <v>15</v>
      </c>
      <c r="N173" s="83">
        <v>0</v>
      </c>
      <c r="O173" s="82" t="s">
        <v>15</v>
      </c>
      <c r="P173" s="83">
        <v>0</v>
      </c>
      <c r="Q173" s="83">
        <v>0</v>
      </c>
      <c r="R173" s="198">
        <v>0</v>
      </c>
    </row>
    <row r="174" spans="1:18" ht="14.25" customHeight="1">
      <c r="A174" s="197" t="s">
        <v>50</v>
      </c>
      <c r="B174" s="192" t="s">
        <v>140</v>
      </c>
      <c r="C174" s="192" t="s">
        <v>104</v>
      </c>
      <c r="D174" s="84" t="s">
        <v>6</v>
      </c>
      <c r="E174" s="127">
        <v>0</v>
      </c>
      <c r="F174" s="83">
        <v>0</v>
      </c>
      <c r="G174" s="83">
        <v>0</v>
      </c>
      <c r="H174" s="82" t="s">
        <v>15</v>
      </c>
      <c r="I174" s="83">
        <v>0</v>
      </c>
      <c r="J174" s="82" t="s">
        <v>15</v>
      </c>
      <c r="K174" s="83">
        <v>2266.5</v>
      </c>
      <c r="L174" s="83">
        <v>0</v>
      </c>
      <c r="M174" s="82" t="s">
        <v>15</v>
      </c>
      <c r="N174" s="83">
        <v>0</v>
      </c>
      <c r="O174" s="82" t="s">
        <v>15</v>
      </c>
      <c r="P174" s="83">
        <v>0</v>
      </c>
      <c r="Q174" s="83">
        <v>0</v>
      </c>
      <c r="R174" s="198">
        <v>0</v>
      </c>
    </row>
    <row r="175" spans="1:18" ht="14.25" customHeight="1">
      <c r="A175" s="197" t="s">
        <v>50</v>
      </c>
      <c r="B175" s="192" t="s">
        <v>140</v>
      </c>
      <c r="C175" s="192" t="s">
        <v>104</v>
      </c>
      <c r="D175" s="84" t="s">
        <v>61</v>
      </c>
      <c r="E175" s="127">
        <v>0</v>
      </c>
      <c r="F175" s="83">
        <v>0</v>
      </c>
      <c r="G175" s="83">
        <v>0</v>
      </c>
      <c r="H175" s="82" t="s">
        <v>15</v>
      </c>
      <c r="I175" s="83">
        <v>0</v>
      </c>
      <c r="J175" s="82" t="s">
        <v>15</v>
      </c>
      <c r="K175" s="83">
        <v>545.55998229980503</v>
      </c>
      <c r="L175" s="83">
        <v>0</v>
      </c>
      <c r="M175" s="82" t="s">
        <v>15</v>
      </c>
      <c r="N175" s="83">
        <v>0</v>
      </c>
      <c r="O175" s="82" t="s">
        <v>15</v>
      </c>
      <c r="P175" s="83">
        <v>0</v>
      </c>
      <c r="Q175" s="83">
        <v>0</v>
      </c>
      <c r="R175" s="198">
        <v>0</v>
      </c>
    </row>
    <row r="176" spans="1:18" ht="14.25" customHeight="1">
      <c r="A176" s="197" t="s">
        <v>50</v>
      </c>
      <c r="B176" s="192" t="s">
        <v>140</v>
      </c>
      <c r="C176" s="192" t="s">
        <v>104</v>
      </c>
      <c r="D176" s="84" t="s">
        <v>154</v>
      </c>
      <c r="E176" s="127">
        <v>0</v>
      </c>
      <c r="F176" s="83">
        <v>0</v>
      </c>
      <c r="G176" s="83">
        <v>0</v>
      </c>
      <c r="H176" s="82" t="s">
        <v>15</v>
      </c>
      <c r="I176" s="83">
        <v>0</v>
      </c>
      <c r="J176" s="82" t="s">
        <v>15</v>
      </c>
      <c r="K176" s="83">
        <v>0</v>
      </c>
      <c r="L176" s="83">
        <v>0</v>
      </c>
      <c r="M176" s="82" t="s">
        <v>15</v>
      </c>
      <c r="N176" s="83">
        <v>0</v>
      </c>
      <c r="O176" s="82" t="s">
        <v>15</v>
      </c>
      <c r="P176" s="83">
        <v>0</v>
      </c>
      <c r="Q176" s="83">
        <v>0</v>
      </c>
      <c r="R176" s="198">
        <v>0</v>
      </c>
    </row>
    <row r="177" spans="1:18" ht="14.25" customHeight="1" thickBot="1">
      <c r="A177" s="199" t="s">
        <v>50</v>
      </c>
      <c r="B177" s="200" t="s">
        <v>140</v>
      </c>
      <c r="C177" s="200" t="s">
        <v>104</v>
      </c>
      <c r="D177" s="81" t="s">
        <v>60</v>
      </c>
      <c r="E177" s="128">
        <v>11340.29</v>
      </c>
      <c r="F177" s="80">
        <v>30362.37</v>
      </c>
      <c r="G177" s="80">
        <v>31250</v>
      </c>
      <c r="H177" s="201">
        <v>-0.03</v>
      </c>
      <c r="I177" s="80">
        <v>148105.09</v>
      </c>
      <c r="J177" s="201">
        <v>-0.79</v>
      </c>
      <c r="K177" s="80">
        <v>949436.570000001</v>
      </c>
      <c r="L177" s="80">
        <v>1246250</v>
      </c>
      <c r="M177" s="201">
        <v>-0.24</v>
      </c>
      <c r="N177" s="80">
        <v>1224621.6499999999</v>
      </c>
      <c r="O177" s="201">
        <v>-0.22</v>
      </c>
      <c r="P177" s="80">
        <v>6296.7173684210502</v>
      </c>
      <c r="Q177" s="80">
        <v>6772.6705824999999</v>
      </c>
      <c r="R177" s="202">
        <v>0</v>
      </c>
    </row>
    <row r="178" spans="1:18" ht="14.25" customHeight="1">
      <c r="A178" s="193" t="s">
        <v>50</v>
      </c>
      <c r="B178" s="194" t="s">
        <v>134</v>
      </c>
      <c r="C178" s="194" t="s">
        <v>167</v>
      </c>
      <c r="D178" s="86" t="s">
        <v>49</v>
      </c>
      <c r="E178" s="126">
        <v>3164.74</v>
      </c>
      <c r="F178" s="85">
        <v>11369.0401611328</v>
      </c>
      <c r="G178" s="85">
        <v>14166.666666666701</v>
      </c>
      <c r="H178" s="195">
        <v>-0.2</v>
      </c>
      <c r="I178" s="85">
        <v>66210.149459838896</v>
      </c>
      <c r="J178" s="195">
        <v>-0.83</v>
      </c>
      <c r="K178" s="85">
        <v>351718.651382446</v>
      </c>
      <c r="L178" s="85">
        <v>439166.66666666698</v>
      </c>
      <c r="M178" s="195">
        <v>-0.2</v>
      </c>
      <c r="N178" s="85">
        <v>462869.509689331</v>
      </c>
      <c r="O178" s="195">
        <v>-0.24</v>
      </c>
      <c r="P178" s="85">
        <v>2980.5768336245901</v>
      </c>
      <c r="Q178" s="85">
        <v>0</v>
      </c>
      <c r="R178" s="196">
        <v>0</v>
      </c>
    </row>
    <row r="179" spans="1:18" ht="14.25" customHeight="1">
      <c r="A179" s="197" t="s">
        <v>50</v>
      </c>
      <c r="B179" s="192" t="s">
        <v>134</v>
      </c>
      <c r="C179" s="192" t="s">
        <v>167</v>
      </c>
      <c r="D179" s="84" t="s">
        <v>191</v>
      </c>
      <c r="E179" s="127">
        <v>242</v>
      </c>
      <c r="F179" s="83">
        <v>1199.9199981689501</v>
      </c>
      <c r="G179" s="83">
        <v>3125</v>
      </c>
      <c r="H179" s="82">
        <v>-0.62</v>
      </c>
      <c r="I179" s="83">
        <v>14752.010208129899</v>
      </c>
      <c r="J179" s="82">
        <v>-0.92</v>
      </c>
      <c r="K179" s="83">
        <v>69735.799606323199</v>
      </c>
      <c r="L179" s="83">
        <v>104125</v>
      </c>
      <c r="M179" s="82">
        <v>-0.33</v>
      </c>
      <c r="N179" s="83">
        <v>84387.360382080107</v>
      </c>
      <c r="O179" s="82">
        <v>-0.17</v>
      </c>
      <c r="P179" s="83">
        <v>726.32000009637102</v>
      </c>
      <c r="Q179" s="83">
        <v>0</v>
      </c>
      <c r="R179" s="198">
        <v>0</v>
      </c>
    </row>
    <row r="180" spans="1:18" ht="14.25" customHeight="1">
      <c r="A180" s="197" t="s">
        <v>50</v>
      </c>
      <c r="B180" s="192" t="s">
        <v>134</v>
      </c>
      <c r="C180" s="192" t="s">
        <v>167</v>
      </c>
      <c r="D180" s="84" t="s">
        <v>47</v>
      </c>
      <c r="E180" s="127">
        <v>471.68</v>
      </c>
      <c r="F180" s="83">
        <v>1066.6799945831301</v>
      </c>
      <c r="G180" s="83">
        <v>2083.3333333333298</v>
      </c>
      <c r="H180" s="82">
        <v>-0.49</v>
      </c>
      <c r="I180" s="83">
        <v>7380.0499897003201</v>
      </c>
      <c r="J180" s="82">
        <v>-0.86</v>
      </c>
      <c r="K180" s="83">
        <v>275085.73695564299</v>
      </c>
      <c r="L180" s="83">
        <v>202083.33333333299</v>
      </c>
      <c r="M180" s="82">
        <v>0.36</v>
      </c>
      <c r="N180" s="83">
        <v>225743.191106796</v>
      </c>
      <c r="O180" s="82">
        <v>0.22</v>
      </c>
      <c r="P180" s="83">
        <v>470.17473712720403</v>
      </c>
      <c r="Q180" s="83">
        <v>0</v>
      </c>
      <c r="R180" s="198">
        <v>0</v>
      </c>
    </row>
    <row r="181" spans="1:18" ht="14.25" customHeight="1">
      <c r="A181" s="197" t="s">
        <v>50</v>
      </c>
      <c r="B181" s="192" t="s">
        <v>134</v>
      </c>
      <c r="C181" s="192" t="s">
        <v>167</v>
      </c>
      <c r="D181" s="84" t="s">
        <v>62</v>
      </c>
      <c r="E181" s="127">
        <v>2885</v>
      </c>
      <c r="F181" s="83">
        <v>12764.6699981689</v>
      </c>
      <c r="G181" s="83">
        <v>15625</v>
      </c>
      <c r="H181" s="82">
        <v>-0.18</v>
      </c>
      <c r="I181" s="83">
        <v>66042.980102539106</v>
      </c>
      <c r="J181" s="82">
        <v>-0.81</v>
      </c>
      <c r="K181" s="83">
        <v>348871.63892173802</v>
      </c>
      <c r="L181" s="83">
        <v>420625</v>
      </c>
      <c r="M181" s="82">
        <v>-0.17</v>
      </c>
      <c r="N181" s="83">
        <v>432907.878993263</v>
      </c>
      <c r="O181" s="82">
        <v>-0.19</v>
      </c>
      <c r="P181" s="83">
        <v>3275.5436843069001</v>
      </c>
      <c r="Q181" s="83">
        <v>0</v>
      </c>
      <c r="R181" s="198">
        <v>0</v>
      </c>
    </row>
    <row r="182" spans="1:18" ht="14.25" customHeight="1">
      <c r="A182" s="197" t="s">
        <v>50</v>
      </c>
      <c r="B182" s="192" t="s">
        <v>134</v>
      </c>
      <c r="C182" s="192" t="s">
        <v>167</v>
      </c>
      <c r="D182" s="84" t="s">
        <v>6</v>
      </c>
      <c r="E182" s="127">
        <v>718</v>
      </c>
      <c r="F182" s="83">
        <v>11009</v>
      </c>
      <c r="G182" s="83">
        <v>6666.6666666666697</v>
      </c>
      <c r="H182" s="82">
        <v>0.65</v>
      </c>
      <c r="I182" s="83">
        <v>31141.0400390625</v>
      </c>
      <c r="J182" s="82">
        <v>-0.65</v>
      </c>
      <c r="K182" s="83">
        <v>148481.63984680199</v>
      </c>
      <c r="L182" s="83">
        <v>137666.66666666701</v>
      </c>
      <c r="M182" s="82">
        <v>0.08</v>
      </c>
      <c r="N182" s="83">
        <v>154142.72029686</v>
      </c>
      <c r="O182" s="82">
        <v>-0.04</v>
      </c>
      <c r="P182" s="83">
        <v>1104.78947368421</v>
      </c>
      <c r="Q182" s="83">
        <v>0</v>
      </c>
      <c r="R182" s="198">
        <v>0</v>
      </c>
    </row>
    <row r="183" spans="1:18" ht="14.25" customHeight="1">
      <c r="A183" s="197" t="s">
        <v>50</v>
      </c>
      <c r="B183" s="192" t="s">
        <v>134</v>
      </c>
      <c r="C183" s="192" t="s">
        <v>167</v>
      </c>
      <c r="D183" s="84" t="s">
        <v>61</v>
      </c>
      <c r="E183" s="127">
        <v>291.89999999999998</v>
      </c>
      <c r="F183" s="83">
        <v>2085.5600128173801</v>
      </c>
      <c r="G183" s="83">
        <v>2083.3333333333298</v>
      </c>
      <c r="H183" s="82">
        <v>0</v>
      </c>
      <c r="I183" s="83">
        <v>6206.1400318145797</v>
      </c>
      <c r="J183" s="82">
        <v>-0.66</v>
      </c>
      <c r="K183" s="83">
        <v>63197.9602203369</v>
      </c>
      <c r="L183" s="83">
        <v>69083.333333333299</v>
      </c>
      <c r="M183" s="82">
        <v>-0.09</v>
      </c>
      <c r="N183" s="83">
        <v>28932.719972610499</v>
      </c>
      <c r="O183" s="82">
        <v>1.18</v>
      </c>
      <c r="P183" s="83">
        <v>416.54947300961197</v>
      </c>
      <c r="Q183" s="83">
        <v>0</v>
      </c>
      <c r="R183" s="198">
        <v>0</v>
      </c>
    </row>
    <row r="184" spans="1:18" ht="14.25" customHeight="1">
      <c r="A184" s="197" t="s">
        <v>50</v>
      </c>
      <c r="B184" s="192" t="s">
        <v>134</v>
      </c>
      <c r="C184" s="192" t="s">
        <v>167</v>
      </c>
      <c r="D184" s="84" t="s">
        <v>154</v>
      </c>
      <c r="E184" s="127">
        <v>0</v>
      </c>
      <c r="F184" s="83">
        <v>0</v>
      </c>
      <c r="G184" s="83">
        <v>0</v>
      </c>
      <c r="H184" s="82" t="s">
        <v>15</v>
      </c>
      <c r="I184" s="83">
        <v>0</v>
      </c>
      <c r="J184" s="82" t="s">
        <v>15</v>
      </c>
      <c r="K184" s="83">
        <v>0</v>
      </c>
      <c r="L184" s="83">
        <v>0</v>
      </c>
      <c r="M184" s="82" t="s">
        <v>15</v>
      </c>
      <c r="N184" s="83">
        <v>0</v>
      </c>
      <c r="O184" s="82" t="s">
        <v>15</v>
      </c>
      <c r="P184" s="83">
        <v>0</v>
      </c>
      <c r="Q184" s="83">
        <v>0</v>
      </c>
      <c r="R184" s="198">
        <v>0</v>
      </c>
    </row>
    <row r="185" spans="1:18" ht="14.25" customHeight="1" thickBot="1">
      <c r="A185" s="199" t="s">
        <v>50</v>
      </c>
      <c r="B185" s="200" t="s">
        <v>134</v>
      </c>
      <c r="C185" s="200" t="s">
        <v>167</v>
      </c>
      <c r="D185" s="81" t="s">
        <v>60</v>
      </c>
      <c r="E185" s="128">
        <v>10444.6</v>
      </c>
      <c r="F185" s="80">
        <v>54473.13</v>
      </c>
      <c r="G185" s="80">
        <v>58333.333333333299</v>
      </c>
      <c r="H185" s="201">
        <v>-7.0000000000000007E-2</v>
      </c>
      <c r="I185" s="80">
        <v>264236.89</v>
      </c>
      <c r="J185" s="201">
        <v>-0.79</v>
      </c>
      <c r="K185" s="80">
        <v>1842830.66</v>
      </c>
      <c r="L185" s="80">
        <v>1877333.33333333</v>
      </c>
      <c r="M185" s="201">
        <v>-0.02</v>
      </c>
      <c r="N185" s="80">
        <v>1967384.3</v>
      </c>
      <c r="O185" s="201">
        <v>-0.06</v>
      </c>
      <c r="P185" s="80">
        <v>11869.8352631579</v>
      </c>
      <c r="Q185" s="80">
        <v>0</v>
      </c>
      <c r="R185" s="202">
        <v>0</v>
      </c>
    </row>
    <row r="186" spans="1:18" ht="14.25" customHeight="1">
      <c r="A186" s="193" t="s">
        <v>50</v>
      </c>
      <c r="B186" s="194" t="s">
        <v>168</v>
      </c>
      <c r="C186" s="194" t="s">
        <v>149</v>
      </c>
      <c r="D186" s="86" t="s">
        <v>49</v>
      </c>
      <c r="E186" s="126">
        <v>1350.08</v>
      </c>
      <c r="F186" s="85">
        <v>6179.7899169921902</v>
      </c>
      <c r="G186" s="85">
        <v>4166.6666666666697</v>
      </c>
      <c r="H186" s="195">
        <v>0.48</v>
      </c>
      <c r="I186" s="85">
        <v>0</v>
      </c>
      <c r="J186" s="195" t="s">
        <v>15</v>
      </c>
      <c r="K186" s="85">
        <v>141180.650756836</v>
      </c>
      <c r="L186" s="85">
        <v>162166.66666666701</v>
      </c>
      <c r="M186" s="195">
        <v>-0.13</v>
      </c>
      <c r="N186" s="85">
        <v>0</v>
      </c>
      <c r="O186" s="195" t="s">
        <v>15</v>
      </c>
      <c r="P186" s="85">
        <v>727.37947805304304</v>
      </c>
      <c r="Q186" s="85">
        <v>0</v>
      </c>
      <c r="R186" s="196">
        <v>0</v>
      </c>
    </row>
    <row r="187" spans="1:18" ht="14.25" customHeight="1">
      <c r="A187" s="197" t="s">
        <v>50</v>
      </c>
      <c r="B187" s="192" t="s">
        <v>168</v>
      </c>
      <c r="C187" s="192" t="s">
        <v>149</v>
      </c>
      <c r="D187" s="84" t="s">
        <v>191</v>
      </c>
      <c r="E187" s="127">
        <v>201.68</v>
      </c>
      <c r="F187" s="83">
        <v>1048.6599750518801</v>
      </c>
      <c r="G187" s="83">
        <v>2083.3333333333298</v>
      </c>
      <c r="H187" s="82">
        <v>-0.5</v>
      </c>
      <c r="I187" s="83">
        <v>0</v>
      </c>
      <c r="J187" s="82" t="s">
        <v>15</v>
      </c>
      <c r="K187" s="83">
        <v>29261.230188369798</v>
      </c>
      <c r="L187" s="83">
        <v>57083.333333333299</v>
      </c>
      <c r="M187" s="82">
        <v>-0.49</v>
      </c>
      <c r="N187" s="83">
        <v>0</v>
      </c>
      <c r="O187" s="82" t="s">
        <v>15</v>
      </c>
      <c r="P187" s="83">
        <v>471.12315920779599</v>
      </c>
      <c r="Q187" s="83">
        <v>0</v>
      </c>
      <c r="R187" s="198">
        <v>0</v>
      </c>
    </row>
    <row r="188" spans="1:18" ht="14.25" customHeight="1">
      <c r="A188" s="197" t="s">
        <v>50</v>
      </c>
      <c r="B188" s="192" t="s">
        <v>168</v>
      </c>
      <c r="C188" s="192" t="s">
        <v>149</v>
      </c>
      <c r="D188" s="84" t="s">
        <v>47</v>
      </c>
      <c r="E188" s="127">
        <v>1061.69</v>
      </c>
      <c r="F188" s="83">
        <v>1080.8300247192401</v>
      </c>
      <c r="G188" s="83">
        <v>2083.3333333333298</v>
      </c>
      <c r="H188" s="82">
        <v>-0.48</v>
      </c>
      <c r="I188" s="83">
        <v>0</v>
      </c>
      <c r="J188" s="82" t="s">
        <v>15</v>
      </c>
      <c r="K188" s="83">
        <v>146027.97080326101</v>
      </c>
      <c r="L188" s="83">
        <v>137083.33333333299</v>
      </c>
      <c r="M188" s="82">
        <v>7.0000000000000007E-2</v>
      </c>
      <c r="N188" s="83">
        <v>0</v>
      </c>
      <c r="O188" s="82" t="s">
        <v>15</v>
      </c>
      <c r="P188" s="83">
        <v>469.42999869898699</v>
      </c>
      <c r="Q188" s="83">
        <v>0</v>
      </c>
      <c r="R188" s="198">
        <v>0</v>
      </c>
    </row>
    <row r="189" spans="1:18" ht="14.25" customHeight="1">
      <c r="A189" s="197" t="s">
        <v>50</v>
      </c>
      <c r="B189" s="192" t="s">
        <v>168</v>
      </c>
      <c r="C189" s="192" t="s">
        <v>149</v>
      </c>
      <c r="D189" s="84" t="s">
        <v>62</v>
      </c>
      <c r="E189" s="127">
        <v>966.83</v>
      </c>
      <c r="F189" s="83">
        <v>5660.3500404357901</v>
      </c>
      <c r="G189" s="83">
        <v>5208.3333333333303</v>
      </c>
      <c r="H189" s="82">
        <v>0.09</v>
      </c>
      <c r="I189" s="83">
        <v>0</v>
      </c>
      <c r="J189" s="82" t="s">
        <v>15</v>
      </c>
      <c r="K189" s="83">
        <v>165040.840350151</v>
      </c>
      <c r="L189" s="83">
        <v>159208.33333333299</v>
      </c>
      <c r="M189" s="82">
        <v>0.04</v>
      </c>
      <c r="N189" s="83">
        <v>0</v>
      </c>
      <c r="O189" s="82" t="s">
        <v>15</v>
      </c>
      <c r="P189" s="83">
        <v>1017.87631366127</v>
      </c>
      <c r="Q189" s="83">
        <v>0</v>
      </c>
      <c r="R189" s="198">
        <v>0</v>
      </c>
    </row>
    <row r="190" spans="1:18" ht="14.25" customHeight="1">
      <c r="A190" s="197" t="s">
        <v>50</v>
      </c>
      <c r="B190" s="192" t="s">
        <v>168</v>
      </c>
      <c r="C190" s="192" t="s">
        <v>149</v>
      </c>
      <c r="D190" s="84" t="s">
        <v>6</v>
      </c>
      <c r="E190" s="127">
        <v>325.5</v>
      </c>
      <c r="F190" s="83">
        <v>4306.3299865722702</v>
      </c>
      <c r="G190" s="83">
        <v>3125</v>
      </c>
      <c r="H190" s="82">
        <v>0.38</v>
      </c>
      <c r="I190" s="83">
        <v>0</v>
      </c>
      <c r="J190" s="82" t="s">
        <v>15</v>
      </c>
      <c r="K190" s="83">
        <v>60579.8300189972</v>
      </c>
      <c r="L190" s="83">
        <v>108125</v>
      </c>
      <c r="M190" s="82">
        <v>-0.44</v>
      </c>
      <c r="N190" s="83">
        <v>0</v>
      </c>
      <c r="O190" s="82" t="s">
        <v>15</v>
      </c>
      <c r="P190" s="83">
        <v>562.82473754882801</v>
      </c>
      <c r="Q190" s="83">
        <v>0</v>
      </c>
      <c r="R190" s="198">
        <v>0</v>
      </c>
    </row>
    <row r="191" spans="1:18" ht="14.25" customHeight="1">
      <c r="A191" s="197" t="s">
        <v>50</v>
      </c>
      <c r="B191" s="192" t="s">
        <v>168</v>
      </c>
      <c r="C191" s="192" t="s">
        <v>149</v>
      </c>
      <c r="D191" s="84" t="s">
        <v>61</v>
      </c>
      <c r="E191" s="127">
        <v>790.27</v>
      </c>
      <c r="F191" s="83">
        <v>2030.8100280761701</v>
      </c>
      <c r="G191" s="83">
        <v>2083.3333333333298</v>
      </c>
      <c r="H191" s="82">
        <v>-0.03</v>
      </c>
      <c r="I191" s="83">
        <v>0</v>
      </c>
      <c r="J191" s="82" t="s">
        <v>15</v>
      </c>
      <c r="K191" s="83">
        <v>27195.2402496338</v>
      </c>
      <c r="L191" s="83">
        <v>71083.333333333299</v>
      </c>
      <c r="M191" s="82">
        <v>-0.62</v>
      </c>
      <c r="N191" s="83">
        <v>0</v>
      </c>
      <c r="O191" s="82" t="s">
        <v>15</v>
      </c>
      <c r="P191" s="83">
        <v>419.43105115388602</v>
      </c>
      <c r="Q191" s="83">
        <v>0</v>
      </c>
      <c r="R191" s="198">
        <v>0</v>
      </c>
    </row>
    <row r="192" spans="1:18" ht="14.25" customHeight="1">
      <c r="A192" s="197" t="s">
        <v>50</v>
      </c>
      <c r="B192" s="192" t="s">
        <v>168</v>
      </c>
      <c r="C192" s="192" t="s">
        <v>149</v>
      </c>
      <c r="D192" s="84" t="s">
        <v>154</v>
      </c>
      <c r="E192" s="127">
        <v>0</v>
      </c>
      <c r="F192" s="83">
        <v>0</v>
      </c>
      <c r="G192" s="83">
        <v>0</v>
      </c>
      <c r="H192" s="82" t="s">
        <v>15</v>
      </c>
      <c r="I192" s="83">
        <v>0</v>
      </c>
      <c r="J192" s="82" t="s">
        <v>15</v>
      </c>
      <c r="K192" s="83">
        <v>0</v>
      </c>
      <c r="L192" s="83">
        <v>0</v>
      </c>
      <c r="M192" s="82" t="s">
        <v>15</v>
      </c>
      <c r="N192" s="83">
        <v>0</v>
      </c>
      <c r="O192" s="82" t="s">
        <v>15</v>
      </c>
      <c r="P192" s="83">
        <v>0</v>
      </c>
      <c r="Q192" s="83">
        <v>0</v>
      </c>
      <c r="R192" s="198">
        <v>0</v>
      </c>
    </row>
    <row r="193" spans="1:18" ht="14.25" customHeight="1" thickBot="1">
      <c r="A193" s="199" t="s">
        <v>50</v>
      </c>
      <c r="B193" s="200" t="s">
        <v>168</v>
      </c>
      <c r="C193" s="200" t="s">
        <v>149</v>
      </c>
      <c r="D193" s="81" t="s">
        <v>60</v>
      </c>
      <c r="E193" s="128">
        <v>7600.49</v>
      </c>
      <c r="F193" s="80">
        <v>32935.949999999997</v>
      </c>
      <c r="G193" s="80">
        <v>29166.666666666701</v>
      </c>
      <c r="H193" s="201">
        <v>0.13</v>
      </c>
      <c r="I193" s="80">
        <v>0</v>
      </c>
      <c r="J193" s="201" t="s">
        <v>15</v>
      </c>
      <c r="K193" s="80">
        <v>940469.31000000099</v>
      </c>
      <c r="L193" s="80">
        <v>979166.66666666698</v>
      </c>
      <c r="M193" s="201">
        <v>-0.04</v>
      </c>
      <c r="N193" s="80">
        <v>0</v>
      </c>
      <c r="O193" s="201" t="s">
        <v>15</v>
      </c>
      <c r="P193" s="80">
        <v>5634.95</v>
      </c>
      <c r="Q193" s="80">
        <v>0</v>
      </c>
      <c r="R193" s="202">
        <v>0</v>
      </c>
    </row>
    <row r="194" spans="1:18" ht="14.25" customHeight="1">
      <c r="A194" s="193" t="s">
        <v>50</v>
      </c>
      <c r="B194" s="194" t="s">
        <v>135</v>
      </c>
      <c r="C194" s="194" t="s">
        <v>166</v>
      </c>
      <c r="D194" s="86" t="s">
        <v>49</v>
      </c>
      <c r="E194" s="126">
        <v>1031.1600000000001</v>
      </c>
      <c r="F194" s="85">
        <v>6160.56005859375</v>
      </c>
      <c r="G194" s="85">
        <v>4166.6666666666697</v>
      </c>
      <c r="H194" s="195">
        <v>0.48</v>
      </c>
      <c r="I194" s="85">
        <v>45975.209594726599</v>
      </c>
      <c r="J194" s="195">
        <v>-0.87</v>
      </c>
      <c r="K194" s="85">
        <v>164955.10891723601</v>
      </c>
      <c r="L194" s="85">
        <v>239166.66666666701</v>
      </c>
      <c r="M194" s="195">
        <v>-0.31</v>
      </c>
      <c r="N194" s="85">
        <v>378917.41522216803</v>
      </c>
      <c r="O194" s="195">
        <v>-0.56000000000000005</v>
      </c>
      <c r="P194" s="85">
        <v>728.39157586348699</v>
      </c>
      <c r="Q194" s="85">
        <v>0</v>
      </c>
      <c r="R194" s="196">
        <v>0</v>
      </c>
    </row>
    <row r="195" spans="1:18" ht="14.25" customHeight="1">
      <c r="A195" s="197" t="s">
        <v>50</v>
      </c>
      <c r="B195" s="192" t="s">
        <v>135</v>
      </c>
      <c r="C195" s="192" t="s">
        <v>166</v>
      </c>
      <c r="D195" s="84" t="s">
        <v>191</v>
      </c>
      <c r="E195" s="127">
        <v>0</v>
      </c>
      <c r="F195" s="83">
        <v>1250.3500080108599</v>
      </c>
      <c r="G195" s="83">
        <v>2083.3333333333298</v>
      </c>
      <c r="H195" s="82">
        <v>-0.4</v>
      </c>
      <c r="I195" s="83">
        <v>12493.1999359131</v>
      </c>
      <c r="J195" s="82">
        <v>-0.9</v>
      </c>
      <c r="K195" s="83">
        <v>48621.980195999102</v>
      </c>
      <c r="L195" s="83">
        <v>129083.33333333299</v>
      </c>
      <c r="M195" s="82">
        <v>-0.62</v>
      </c>
      <c r="N195" s="83">
        <v>77247.250263214097</v>
      </c>
      <c r="O195" s="82">
        <v>-0.37</v>
      </c>
      <c r="P195" s="83">
        <v>460.50789431521798</v>
      </c>
      <c r="Q195" s="83">
        <v>0</v>
      </c>
      <c r="R195" s="198">
        <v>0</v>
      </c>
    </row>
    <row r="196" spans="1:18" ht="14.25" customHeight="1">
      <c r="A196" s="197" t="s">
        <v>50</v>
      </c>
      <c r="B196" s="192" t="s">
        <v>135</v>
      </c>
      <c r="C196" s="192" t="s">
        <v>166</v>
      </c>
      <c r="D196" s="84" t="s">
        <v>47</v>
      </c>
      <c r="E196" s="127">
        <v>130</v>
      </c>
      <c r="F196" s="83">
        <v>233.33999633789099</v>
      </c>
      <c r="G196" s="83">
        <v>2083.3333333333298</v>
      </c>
      <c r="H196" s="82">
        <v>-0.89</v>
      </c>
      <c r="I196" s="83">
        <v>14248.7499084473</v>
      </c>
      <c r="J196" s="82">
        <v>-0.98</v>
      </c>
      <c r="K196" s="83">
        <v>220457.11310768101</v>
      </c>
      <c r="L196" s="83">
        <v>251083.33333333299</v>
      </c>
      <c r="M196" s="82">
        <v>-0.12</v>
      </c>
      <c r="N196" s="83">
        <v>399248.20995807601</v>
      </c>
      <c r="O196" s="82">
        <v>-0.45</v>
      </c>
      <c r="P196" s="83">
        <v>514.03473703484804</v>
      </c>
      <c r="Q196" s="83">
        <v>0</v>
      </c>
      <c r="R196" s="198">
        <v>0</v>
      </c>
    </row>
    <row r="197" spans="1:18" ht="14.25" customHeight="1">
      <c r="A197" s="197" t="s">
        <v>50</v>
      </c>
      <c r="B197" s="192" t="s">
        <v>135</v>
      </c>
      <c r="C197" s="192" t="s">
        <v>166</v>
      </c>
      <c r="D197" s="84" t="s">
        <v>62</v>
      </c>
      <c r="E197" s="127">
        <v>707.5</v>
      </c>
      <c r="F197" s="83">
        <v>6754.5</v>
      </c>
      <c r="G197" s="83">
        <v>6250</v>
      </c>
      <c r="H197" s="82">
        <v>0.08</v>
      </c>
      <c r="I197" s="83">
        <v>54777.369789123499</v>
      </c>
      <c r="J197" s="82">
        <v>-0.88</v>
      </c>
      <c r="K197" s="83">
        <v>224058.27857303599</v>
      </c>
      <c r="L197" s="83">
        <v>229250</v>
      </c>
      <c r="M197" s="82">
        <v>-0.02</v>
      </c>
      <c r="N197" s="83">
        <v>392991.81969833397</v>
      </c>
      <c r="O197" s="82">
        <v>-0.43</v>
      </c>
      <c r="P197" s="83">
        <v>1223.44736842105</v>
      </c>
      <c r="Q197" s="83">
        <v>0</v>
      </c>
      <c r="R197" s="198">
        <v>0</v>
      </c>
    </row>
    <row r="198" spans="1:18" ht="14.25" customHeight="1">
      <c r="A198" s="197" t="s">
        <v>50</v>
      </c>
      <c r="B198" s="192" t="s">
        <v>135</v>
      </c>
      <c r="C198" s="192" t="s">
        <v>166</v>
      </c>
      <c r="D198" s="84" t="s">
        <v>6</v>
      </c>
      <c r="E198" s="127">
        <v>617.5</v>
      </c>
      <c r="F198" s="83">
        <v>2714</v>
      </c>
      <c r="G198" s="83">
        <v>3125</v>
      </c>
      <c r="H198" s="82">
        <v>-0.13</v>
      </c>
      <c r="I198" s="83">
        <v>24289.029937744101</v>
      </c>
      <c r="J198" s="82">
        <v>-0.89</v>
      </c>
      <c r="K198" s="83">
        <v>43275.920120239301</v>
      </c>
      <c r="L198" s="83">
        <v>137125</v>
      </c>
      <c r="M198" s="82">
        <v>-0.68</v>
      </c>
      <c r="N198" s="83">
        <v>136218.09980011001</v>
      </c>
      <c r="O198" s="82">
        <v>-0.68</v>
      </c>
      <c r="P198" s="83">
        <v>646.63157894736798</v>
      </c>
      <c r="Q198" s="83">
        <v>0</v>
      </c>
      <c r="R198" s="198">
        <v>0</v>
      </c>
    </row>
    <row r="199" spans="1:18" ht="14.25" customHeight="1">
      <c r="A199" s="197" t="s">
        <v>50</v>
      </c>
      <c r="B199" s="192" t="s">
        <v>135</v>
      </c>
      <c r="C199" s="192" t="s">
        <v>166</v>
      </c>
      <c r="D199" s="84" t="s">
        <v>61</v>
      </c>
      <c r="E199" s="127">
        <v>0</v>
      </c>
      <c r="F199" s="83">
        <v>1753.82995605469</v>
      </c>
      <c r="G199" s="83">
        <v>3125</v>
      </c>
      <c r="H199" s="82">
        <v>-0.44</v>
      </c>
      <c r="I199" s="83">
        <v>17423.8301391602</v>
      </c>
      <c r="J199" s="82">
        <v>-0.9</v>
      </c>
      <c r="K199" s="83">
        <v>45800.6700515747</v>
      </c>
      <c r="L199" s="83">
        <v>85125</v>
      </c>
      <c r="M199" s="82">
        <v>-0.46</v>
      </c>
      <c r="N199" s="83">
        <v>99397.919540405303</v>
      </c>
      <c r="O199" s="82">
        <v>-0.54</v>
      </c>
      <c r="P199" s="83">
        <v>697.16684441817404</v>
      </c>
      <c r="Q199" s="83">
        <v>0</v>
      </c>
      <c r="R199" s="198">
        <v>0</v>
      </c>
    </row>
    <row r="200" spans="1:18" ht="14.25" customHeight="1">
      <c r="A200" s="197" t="s">
        <v>50</v>
      </c>
      <c r="B200" s="192" t="s">
        <v>135</v>
      </c>
      <c r="C200" s="192" t="s">
        <v>166</v>
      </c>
      <c r="D200" s="84" t="s">
        <v>154</v>
      </c>
      <c r="E200" s="127">
        <v>0</v>
      </c>
      <c r="F200" s="83">
        <v>0</v>
      </c>
      <c r="G200" s="83">
        <v>0</v>
      </c>
      <c r="H200" s="82" t="s">
        <v>15</v>
      </c>
      <c r="I200" s="83">
        <v>0</v>
      </c>
      <c r="J200" s="82" t="s">
        <v>15</v>
      </c>
      <c r="K200" s="83">
        <v>0</v>
      </c>
      <c r="L200" s="83">
        <v>0</v>
      </c>
      <c r="M200" s="82" t="s">
        <v>15</v>
      </c>
      <c r="N200" s="83">
        <v>0</v>
      </c>
      <c r="O200" s="82" t="s">
        <v>15</v>
      </c>
      <c r="P200" s="83">
        <v>0</v>
      </c>
      <c r="Q200" s="83">
        <v>0</v>
      </c>
      <c r="R200" s="198">
        <v>0</v>
      </c>
    </row>
    <row r="201" spans="1:18" ht="14.25" customHeight="1" thickBot="1">
      <c r="A201" s="199" t="s">
        <v>50</v>
      </c>
      <c r="B201" s="200" t="s">
        <v>135</v>
      </c>
      <c r="C201" s="200" t="s">
        <v>166</v>
      </c>
      <c r="D201" s="81" t="s">
        <v>60</v>
      </c>
      <c r="E201" s="128">
        <v>3873.17</v>
      </c>
      <c r="F201" s="80">
        <v>26940.93</v>
      </c>
      <c r="G201" s="80">
        <v>31250</v>
      </c>
      <c r="H201" s="201">
        <v>-0.14000000000000001</v>
      </c>
      <c r="I201" s="80">
        <v>236680.5</v>
      </c>
      <c r="J201" s="201">
        <v>-0.89</v>
      </c>
      <c r="K201" s="80">
        <v>1134536.93</v>
      </c>
      <c r="L201" s="80">
        <v>1351250</v>
      </c>
      <c r="M201" s="201">
        <v>-0.16</v>
      </c>
      <c r="N201" s="80">
        <v>2143278.8199999998</v>
      </c>
      <c r="O201" s="201">
        <v>-0.47</v>
      </c>
      <c r="P201" s="80">
        <v>6476.79315789474</v>
      </c>
      <c r="Q201" s="80">
        <v>0</v>
      </c>
      <c r="R201" s="202">
        <v>0</v>
      </c>
    </row>
    <row r="202" spans="1:18" ht="14.25" customHeight="1">
      <c r="A202" s="193" t="s">
        <v>50</v>
      </c>
      <c r="B202" s="194" t="s">
        <v>150</v>
      </c>
      <c r="C202" s="194" t="s">
        <v>162</v>
      </c>
      <c r="D202" s="86" t="s">
        <v>49</v>
      </c>
      <c r="E202" s="126">
        <v>1499.42</v>
      </c>
      <c r="F202" s="85">
        <v>6307.7900390625</v>
      </c>
      <c r="G202" s="85">
        <v>7291.6666666666697</v>
      </c>
      <c r="H202" s="195">
        <v>-0.13</v>
      </c>
      <c r="I202" s="85">
        <v>34054.060592651404</v>
      </c>
      <c r="J202" s="195">
        <v>-0.81</v>
      </c>
      <c r="K202" s="85">
        <v>198149.76097106899</v>
      </c>
      <c r="L202" s="85">
        <v>269291.66666666698</v>
      </c>
      <c r="M202" s="195">
        <v>-0.26</v>
      </c>
      <c r="N202" s="85">
        <v>269026.74107360799</v>
      </c>
      <c r="O202" s="195">
        <v>-0.26</v>
      </c>
      <c r="P202" s="85">
        <v>1510.11631373355</v>
      </c>
      <c r="Q202" s="85">
        <v>0</v>
      </c>
      <c r="R202" s="196">
        <v>0</v>
      </c>
    </row>
    <row r="203" spans="1:18" ht="14.25" customHeight="1">
      <c r="A203" s="197" t="s">
        <v>50</v>
      </c>
      <c r="B203" s="192" t="s">
        <v>150</v>
      </c>
      <c r="C203" s="192" t="s">
        <v>162</v>
      </c>
      <c r="D203" s="84" t="s">
        <v>191</v>
      </c>
      <c r="E203" s="127">
        <v>0</v>
      </c>
      <c r="F203" s="83">
        <v>867.15998840331997</v>
      </c>
      <c r="G203" s="83">
        <v>2083.3333333333298</v>
      </c>
      <c r="H203" s="82">
        <v>-0.57999999999999996</v>
      </c>
      <c r="I203" s="83">
        <v>5464.9898662567102</v>
      </c>
      <c r="J203" s="82">
        <v>-0.84</v>
      </c>
      <c r="K203" s="83">
        <v>33133.169853439598</v>
      </c>
      <c r="L203" s="83">
        <v>70083.333333333299</v>
      </c>
      <c r="M203" s="82">
        <v>-0.53</v>
      </c>
      <c r="N203" s="83">
        <v>38506.109355926499</v>
      </c>
      <c r="O203" s="82">
        <v>-0.14000000000000001</v>
      </c>
      <c r="P203" s="83">
        <v>480.67579008403601</v>
      </c>
      <c r="Q203" s="83">
        <v>0</v>
      </c>
      <c r="R203" s="198">
        <v>0</v>
      </c>
    </row>
    <row r="204" spans="1:18" ht="14.25" customHeight="1">
      <c r="A204" s="197" t="s">
        <v>50</v>
      </c>
      <c r="B204" s="192" t="s">
        <v>150</v>
      </c>
      <c r="C204" s="192" t="s">
        <v>162</v>
      </c>
      <c r="D204" s="84" t="s">
        <v>47</v>
      </c>
      <c r="E204" s="127">
        <v>130</v>
      </c>
      <c r="F204" s="83">
        <v>1040</v>
      </c>
      <c r="G204" s="83">
        <v>2604.1666666666702</v>
      </c>
      <c r="H204" s="82">
        <v>-0.6</v>
      </c>
      <c r="I204" s="83">
        <v>12020.83984375</v>
      </c>
      <c r="J204" s="82">
        <v>-0.91</v>
      </c>
      <c r="K204" s="83">
        <v>237444.432266235</v>
      </c>
      <c r="L204" s="83">
        <v>242604.16666666701</v>
      </c>
      <c r="M204" s="82">
        <v>-0.02</v>
      </c>
      <c r="N204" s="83">
        <v>241984.498699188</v>
      </c>
      <c r="O204" s="82">
        <v>-0.02</v>
      </c>
      <c r="P204" s="83">
        <v>603.15789473684197</v>
      </c>
      <c r="Q204" s="83">
        <v>0</v>
      </c>
      <c r="R204" s="198">
        <v>0</v>
      </c>
    </row>
    <row r="205" spans="1:18" ht="14.25" customHeight="1">
      <c r="A205" s="197" t="s">
        <v>50</v>
      </c>
      <c r="B205" s="192" t="s">
        <v>150</v>
      </c>
      <c r="C205" s="192" t="s">
        <v>162</v>
      </c>
      <c r="D205" s="84" t="s">
        <v>62</v>
      </c>
      <c r="E205" s="127">
        <v>1609.67</v>
      </c>
      <c r="F205" s="83">
        <v>7991.1101074218795</v>
      </c>
      <c r="G205" s="83">
        <v>8333.3333333333303</v>
      </c>
      <c r="H205" s="82">
        <v>-0.04</v>
      </c>
      <c r="I205" s="83">
        <v>30886.3398590088</v>
      </c>
      <c r="J205" s="82">
        <v>-0.74</v>
      </c>
      <c r="K205" s="83">
        <v>168543.941055298</v>
      </c>
      <c r="L205" s="83">
        <v>178333.33333333299</v>
      </c>
      <c r="M205" s="82">
        <v>-0.05</v>
      </c>
      <c r="N205" s="83">
        <v>180942.30005073501</v>
      </c>
      <c r="O205" s="82">
        <v>-7.0000000000000007E-2</v>
      </c>
      <c r="P205" s="83">
        <v>1684.6784153988499</v>
      </c>
      <c r="Q205" s="83">
        <v>0</v>
      </c>
      <c r="R205" s="198">
        <v>0</v>
      </c>
    </row>
    <row r="206" spans="1:18" ht="14.25" customHeight="1">
      <c r="A206" s="197" t="s">
        <v>50</v>
      </c>
      <c r="B206" s="192" t="s">
        <v>150</v>
      </c>
      <c r="C206" s="192" t="s">
        <v>162</v>
      </c>
      <c r="D206" s="84" t="s">
        <v>6</v>
      </c>
      <c r="E206" s="127">
        <v>357</v>
      </c>
      <c r="F206" s="83">
        <v>4653.75</v>
      </c>
      <c r="G206" s="83">
        <v>4166.6666666666697</v>
      </c>
      <c r="H206" s="82">
        <v>0.12</v>
      </c>
      <c r="I206" s="83">
        <v>17615.790222168001</v>
      </c>
      <c r="J206" s="82">
        <v>-0.74</v>
      </c>
      <c r="K206" s="83">
        <v>61262.420175552397</v>
      </c>
      <c r="L206" s="83">
        <v>91166.666666666701</v>
      </c>
      <c r="M206" s="82">
        <v>-0.33</v>
      </c>
      <c r="N206" s="83">
        <v>78351.840270996094</v>
      </c>
      <c r="O206" s="82">
        <v>-0.22</v>
      </c>
      <c r="P206" s="83">
        <v>807.69736842105306</v>
      </c>
      <c r="Q206" s="83">
        <v>0</v>
      </c>
      <c r="R206" s="198">
        <v>0</v>
      </c>
    </row>
    <row r="207" spans="1:18" ht="14.25" customHeight="1">
      <c r="A207" s="197" t="s">
        <v>50</v>
      </c>
      <c r="B207" s="192" t="s">
        <v>150</v>
      </c>
      <c r="C207" s="192" t="s">
        <v>162</v>
      </c>
      <c r="D207" s="84" t="s">
        <v>61</v>
      </c>
      <c r="E207" s="127">
        <v>0</v>
      </c>
      <c r="F207" s="83">
        <v>3297.9800262451199</v>
      </c>
      <c r="G207" s="83">
        <v>3125</v>
      </c>
      <c r="H207" s="82">
        <v>0.06</v>
      </c>
      <c r="I207" s="83">
        <v>12116.7297363281</v>
      </c>
      <c r="J207" s="82">
        <v>-0.73</v>
      </c>
      <c r="K207" s="83">
        <v>31313.540040969801</v>
      </c>
      <c r="L207" s="83">
        <v>75125</v>
      </c>
      <c r="M207" s="82">
        <v>-0.57999999999999996</v>
      </c>
      <c r="N207" s="83">
        <v>57371.510223388701</v>
      </c>
      <c r="O207" s="82">
        <v>-0.45</v>
      </c>
      <c r="P207" s="83">
        <v>615.89578809236195</v>
      </c>
      <c r="Q207" s="83">
        <v>0</v>
      </c>
      <c r="R207" s="198">
        <v>0</v>
      </c>
    </row>
    <row r="208" spans="1:18" ht="14.25" customHeight="1">
      <c r="A208" s="197" t="s">
        <v>50</v>
      </c>
      <c r="B208" s="192" t="s">
        <v>150</v>
      </c>
      <c r="C208" s="192" t="s">
        <v>162</v>
      </c>
      <c r="D208" s="84" t="s">
        <v>154</v>
      </c>
      <c r="E208" s="127">
        <v>0</v>
      </c>
      <c r="F208" s="83">
        <v>0</v>
      </c>
      <c r="G208" s="83">
        <v>0</v>
      </c>
      <c r="H208" s="82" t="s">
        <v>15</v>
      </c>
      <c r="I208" s="83">
        <v>0</v>
      </c>
      <c r="J208" s="82" t="s">
        <v>15</v>
      </c>
      <c r="K208" s="83">
        <v>0</v>
      </c>
      <c r="L208" s="83">
        <v>0</v>
      </c>
      <c r="M208" s="82" t="s">
        <v>15</v>
      </c>
      <c r="N208" s="83">
        <v>0</v>
      </c>
      <c r="O208" s="82" t="s">
        <v>15</v>
      </c>
      <c r="P208" s="83">
        <v>0</v>
      </c>
      <c r="Q208" s="83">
        <v>0</v>
      </c>
      <c r="R208" s="198">
        <v>0</v>
      </c>
    </row>
    <row r="209" spans="1:18" ht="14.25" customHeight="1" thickBot="1">
      <c r="A209" s="199" t="s">
        <v>50</v>
      </c>
      <c r="B209" s="200" t="s">
        <v>150</v>
      </c>
      <c r="C209" s="200" t="s">
        <v>162</v>
      </c>
      <c r="D209" s="81" t="s">
        <v>60</v>
      </c>
      <c r="E209" s="128">
        <v>5172.0600000000004</v>
      </c>
      <c r="F209" s="80">
        <v>33281.339999999997</v>
      </c>
      <c r="G209" s="80">
        <v>31250</v>
      </c>
      <c r="H209" s="201">
        <v>7.0000000000000007E-2</v>
      </c>
      <c r="I209" s="80">
        <v>147278.66</v>
      </c>
      <c r="J209" s="201">
        <v>-0.77</v>
      </c>
      <c r="K209" s="80">
        <v>1018075.59</v>
      </c>
      <c r="L209" s="80">
        <v>1126250</v>
      </c>
      <c r="M209" s="201">
        <v>-0.1</v>
      </c>
      <c r="N209" s="80">
        <v>1167858.6599999999</v>
      </c>
      <c r="O209" s="201">
        <v>-0.13</v>
      </c>
      <c r="P209" s="80">
        <v>6143.0873684210501</v>
      </c>
      <c r="Q209" s="80">
        <v>0</v>
      </c>
      <c r="R209" s="202">
        <v>0</v>
      </c>
    </row>
    <row r="210" spans="1:18" ht="14.25" customHeight="1">
      <c r="A210" s="193" t="s">
        <v>50</v>
      </c>
      <c r="B210" s="194" t="s">
        <v>157</v>
      </c>
      <c r="C210" s="194" t="s">
        <v>174</v>
      </c>
      <c r="D210" s="86" t="s">
        <v>49</v>
      </c>
      <c r="E210" s="126">
        <v>1123.18</v>
      </c>
      <c r="F210" s="85">
        <v>3612.9100952148401</v>
      </c>
      <c r="G210" s="85">
        <v>6250</v>
      </c>
      <c r="H210" s="195">
        <v>-0.42</v>
      </c>
      <c r="I210" s="85">
        <v>20186.729675293001</v>
      </c>
      <c r="J210" s="195">
        <v>-0.82</v>
      </c>
      <c r="K210" s="85">
        <v>218796.86074829099</v>
      </c>
      <c r="L210" s="85">
        <v>256250</v>
      </c>
      <c r="M210" s="195">
        <v>-0.15</v>
      </c>
      <c r="N210" s="85">
        <v>243869.260925293</v>
      </c>
      <c r="O210" s="195">
        <v>-0.1</v>
      </c>
      <c r="P210" s="85">
        <v>1388.7942055150099</v>
      </c>
      <c r="Q210" s="85">
        <v>2380.0591666666701</v>
      </c>
      <c r="R210" s="196">
        <v>0</v>
      </c>
    </row>
    <row r="211" spans="1:18" ht="14.25" customHeight="1">
      <c r="A211" s="197" t="s">
        <v>50</v>
      </c>
      <c r="B211" s="192" t="s">
        <v>157</v>
      </c>
      <c r="C211" s="192" t="s">
        <v>174</v>
      </c>
      <c r="D211" s="84" t="s">
        <v>191</v>
      </c>
      <c r="E211" s="127">
        <v>242</v>
      </c>
      <c r="F211" s="83">
        <v>786.5</v>
      </c>
      <c r="G211" s="83">
        <v>2083.3333333333298</v>
      </c>
      <c r="H211" s="82">
        <v>-0.62</v>
      </c>
      <c r="I211" s="83">
        <v>6876.8800048828098</v>
      </c>
      <c r="J211" s="82">
        <v>-0.89</v>
      </c>
      <c r="K211" s="83">
        <v>52889.289922714197</v>
      </c>
      <c r="L211" s="83">
        <v>91083.333333333299</v>
      </c>
      <c r="M211" s="82">
        <v>-0.42</v>
      </c>
      <c r="N211" s="83">
        <v>56497.749876022302</v>
      </c>
      <c r="O211" s="82">
        <v>-0.06</v>
      </c>
      <c r="P211" s="83">
        <v>484.92105263157902</v>
      </c>
      <c r="Q211" s="83">
        <v>1189.8333333333301</v>
      </c>
      <c r="R211" s="198">
        <v>0</v>
      </c>
    </row>
    <row r="212" spans="1:18" ht="14.25" customHeight="1">
      <c r="A212" s="197" t="s">
        <v>50</v>
      </c>
      <c r="B212" s="192" t="s">
        <v>157</v>
      </c>
      <c r="C212" s="192" t="s">
        <v>174</v>
      </c>
      <c r="D212" s="84" t="s">
        <v>47</v>
      </c>
      <c r="E212" s="127">
        <v>1140.43</v>
      </c>
      <c r="F212" s="83">
        <v>2186.29005432129</v>
      </c>
      <c r="G212" s="83">
        <v>2083.3333333333298</v>
      </c>
      <c r="H212" s="82">
        <v>0.05</v>
      </c>
      <c r="I212" s="83">
        <v>6837.0299110412598</v>
      </c>
      <c r="J212" s="82">
        <v>-0.68</v>
      </c>
      <c r="K212" s="83">
        <v>161815.310914993</v>
      </c>
      <c r="L212" s="83">
        <v>140083.33333333299</v>
      </c>
      <c r="M212" s="82">
        <v>0.16</v>
      </c>
      <c r="N212" s="83">
        <v>131655.55909729001</v>
      </c>
      <c r="O212" s="82">
        <v>0.23</v>
      </c>
      <c r="P212" s="83">
        <v>411.24789187782699</v>
      </c>
      <c r="Q212" s="83">
        <v>21.6666666666667</v>
      </c>
      <c r="R212" s="198">
        <v>0</v>
      </c>
    </row>
    <row r="213" spans="1:18" ht="14.25" customHeight="1">
      <c r="A213" s="197" t="s">
        <v>50</v>
      </c>
      <c r="B213" s="192" t="s">
        <v>157</v>
      </c>
      <c r="C213" s="192" t="s">
        <v>174</v>
      </c>
      <c r="D213" s="84" t="s">
        <v>62</v>
      </c>
      <c r="E213" s="127">
        <v>1414.17</v>
      </c>
      <c r="F213" s="83">
        <v>5906.4200000762903</v>
      </c>
      <c r="G213" s="83">
        <v>0</v>
      </c>
      <c r="H213" s="82" t="s">
        <v>15</v>
      </c>
      <c r="I213" s="83">
        <v>0</v>
      </c>
      <c r="J213" s="82" t="s">
        <v>15</v>
      </c>
      <c r="K213" s="83">
        <v>5906.4200000762903</v>
      </c>
      <c r="L213" s="83">
        <v>0</v>
      </c>
      <c r="M213" s="82" t="s">
        <v>15</v>
      </c>
      <c r="N213" s="83">
        <v>0</v>
      </c>
      <c r="O213" s="82" t="s">
        <v>15</v>
      </c>
      <c r="P213" s="83">
        <v>-310.86421053033098</v>
      </c>
      <c r="Q213" s="83">
        <v>1049.3333333333301</v>
      </c>
      <c r="R213" s="198">
        <v>0</v>
      </c>
    </row>
    <row r="214" spans="1:18" ht="14.25" customHeight="1">
      <c r="A214" s="197" t="s">
        <v>50</v>
      </c>
      <c r="B214" s="192" t="s">
        <v>157</v>
      </c>
      <c r="C214" s="192" t="s">
        <v>174</v>
      </c>
      <c r="D214" s="84" t="s">
        <v>6</v>
      </c>
      <c r="E214" s="127">
        <v>1092</v>
      </c>
      <c r="F214" s="83">
        <v>3209.5799999237101</v>
      </c>
      <c r="G214" s="83">
        <v>0</v>
      </c>
      <c r="H214" s="82" t="s">
        <v>15</v>
      </c>
      <c r="I214" s="83">
        <v>0</v>
      </c>
      <c r="J214" s="82" t="s">
        <v>15</v>
      </c>
      <c r="K214" s="83">
        <v>3209.5799999237101</v>
      </c>
      <c r="L214" s="83">
        <v>0</v>
      </c>
      <c r="M214" s="82" t="s">
        <v>15</v>
      </c>
      <c r="N214" s="83">
        <v>0</v>
      </c>
      <c r="O214" s="82" t="s">
        <v>15</v>
      </c>
      <c r="P214" s="83">
        <v>-168.925263153879</v>
      </c>
      <c r="Q214" s="83">
        <v>210.75</v>
      </c>
      <c r="R214" s="198">
        <v>0</v>
      </c>
    </row>
    <row r="215" spans="1:18" ht="14.25" customHeight="1">
      <c r="A215" s="197" t="s">
        <v>50</v>
      </c>
      <c r="B215" s="192" t="s">
        <v>157</v>
      </c>
      <c r="C215" s="192" t="s">
        <v>174</v>
      </c>
      <c r="D215" s="84" t="s">
        <v>61</v>
      </c>
      <c r="E215" s="127">
        <v>291.89999999999998</v>
      </c>
      <c r="F215" s="83">
        <v>2184.5199584960901</v>
      </c>
      <c r="G215" s="83">
        <v>0</v>
      </c>
      <c r="H215" s="82" t="s">
        <v>15</v>
      </c>
      <c r="I215" s="83">
        <v>0</v>
      </c>
      <c r="J215" s="82" t="s">
        <v>15</v>
      </c>
      <c r="K215" s="83">
        <v>2184.5199584960901</v>
      </c>
      <c r="L215" s="83">
        <v>0</v>
      </c>
      <c r="M215" s="82" t="s">
        <v>15</v>
      </c>
      <c r="N215" s="83">
        <v>0</v>
      </c>
      <c r="O215" s="82" t="s">
        <v>15</v>
      </c>
      <c r="P215" s="83">
        <v>-114.974734657689</v>
      </c>
      <c r="Q215" s="83">
        <v>291.90375</v>
      </c>
      <c r="R215" s="198">
        <v>0</v>
      </c>
    </row>
    <row r="216" spans="1:18">
      <c r="A216" s="77" t="s">
        <v>50</v>
      </c>
      <c r="B216" s="77" t="s">
        <v>157</v>
      </c>
      <c r="C216" s="77" t="s">
        <v>174</v>
      </c>
      <c r="D216" s="77" t="s">
        <v>154</v>
      </c>
      <c r="E216" s="77">
        <v>0</v>
      </c>
      <c r="F216" s="77">
        <v>0</v>
      </c>
      <c r="G216" s="77">
        <v>0</v>
      </c>
      <c r="H216" s="79" t="s">
        <v>15</v>
      </c>
      <c r="I216" s="77">
        <v>0</v>
      </c>
      <c r="J216" s="79" t="s">
        <v>15</v>
      </c>
      <c r="K216" s="77">
        <v>0</v>
      </c>
      <c r="L216" s="77">
        <v>0</v>
      </c>
      <c r="M216" s="79" t="s">
        <v>15</v>
      </c>
      <c r="N216" s="77">
        <v>0</v>
      </c>
      <c r="O216" s="79" t="s">
        <v>15</v>
      </c>
      <c r="P216" s="78">
        <v>0</v>
      </c>
      <c r="Q216" s="77">
        <v>0</v>
      </c>
      <c r="R216" s="77">
        <v>0</v>
      </c>
    </row>
    <row r="217" spans="1:18">
      <c r="A217" s="77" t="s">
        <v>50</v>
      </c>
      <c r="B217" s="77" t="s">
        <v>157</v>
      </c>
      <c r="C217" s="77" t="s">
        <v>174</v>
      </c>
      <c r="D217" s="77" t="s">
        <v>60</v>
      </c>
      <c r="E217" s="77">
        <v>7496.89</v>
      </c>
      <c r="F217" s="77">
        <v>27966.3</v>
      </c>
      <c r="G217" s="77">
        <v>25000</v>
      </c>
      <c r="H217" s="79">
        <v>0.12</v>
      </c>
      <c r="I217" s="77">
        <v>61826.91</v>
      </c>
      <c r="J217" s="79">
        <v>-0.55000000000000004</v>
      </c>
      <c r="K217" s="77">
        <v>722394.72</v>
      </c>
      <c r="L217" s="77">
        <v>740000</v>
      </c>
      <c r="M217" s="79">
        <v>-0.02</v>
      </c>
      <c r="N217" s="77">
        <v>686239.66999999899</v>
      </c>
      <c r="O217" s="79">
        <v>0.05</v>
      </c>
      <c r="P217" s="78">
        <v>4843.8789473684201</v>
      </c>
      <c r="Q217" s="77">
        <v>8836.3079166666594</v>
      </c>
      <c r="R217" s="77">
        <v>0</v>
      </c>
    </row>
    <row r="218" spans="1:18">
      <c r="A218" s="77" t="s">
        <v>50</v>
      </c>
      <c r="B218" s="77" t="s">
        <v>156</v>
      </c>
      <c r="C218" s="77" t="s">
        <v>121</v>
      </c>
      <c r="D218" s="77" t="s">
        <v>49</v>
      </c>
      <c r="E218" s="77">
        <v>0</v>
      </c>
      <c r="F218" s="77">
        <v>0</v>
      </c>
      <c r="G218" s="77">
        <v>0</v>
      </c>
      <c r="H218" s="79" t="s">
        <v>15</v>
      </c>
      <c r="I218" s="77">
        <v>7414.0500946044904</v>
      </c>
      <c r="J218" s="79">
        <v>-1</v>
      </c>
      <c r="K218" s="77">
        <v>608.52000427246105</v>
      </c>
      <c r="L218" s="77">
        <v>0</v>
      </c>
      <c r="M218" s="79" t="s">
        <v>15</v>
      </c>
      <c r="N218" s="77">
        <v>16065.3302307129</v>
      </c>
      <c r="O218" s="79">
        <v>-0.96</v>
      </c>
      <c r="P218" s="78">
        <v>0</v>
      </c>
      <c r="Q218" s="77">
        <v>0</v>
      </c>
      <c r="R218" s="77">
        <v>0</v>
      </c>
    </row>
    <row r="219" spans="1:18">
      <c r="A219" s="77" t="s">
        <v>50</v>
      </c>
      <c r="B219" s="77" t="s">
        <v>156</v>
      </c>
      <c r="C219" s="77" t="s">
        <v>121</v>
      </c>
      <c r="D219" s="77" t="s">
        <v>191</v>
      </c>
      <c r="E219" s="77">
        <v>0</v>
      </c>
      <c r="F219" s="77">
        <v>0</v>
      </c>
      <c r="G219" s="77">
        <v>0</v>
      </c>
      <c r="H219" s="79" t="s">
        <v>15</v>
      </c>
      <c r="I219" s="77">
        <v>1855.3400268554699</v>
      </c>
      <c r="J219" s="79">
        <v>-1</v>
      </c>
      <c r="K219" s="77">
        <v>383.14999389648398</v>
      </c>
      <c r="L219" s="77">
        <v>0</v>
      </c>
      <c r="M219" s="79" t="s">
        <v>15</v>
      </c>
      <c r="N219" s="77">
        <v>3962.9200153350798</v>
      </c>
      <c r="O219" s="79">
        <v>-0.9</v>
      </c>
      <c r="P219" s="78">
        <v>0</v>
      </c>
      <c r="Q219" s="77">
        <v>0</v>
      </c>
      <c r="R219" s="77">
        <v>0</v>
      </c>
    </row>
    <row r="220" spans="1:18">
      <c r="A220" s="77" t="s">
        <v>50</v>
      </c>
      <c r="B220" s="77" t="s">
        <v>156</v>
      </c>
      <c r="C220" s="77" t="s">
        <v>121</v>
      </c>
      <c r="D220" s="77" t="s">
        <v>47</v>
      </c>
      <c r="E220" s="77">
        <v>0</v>
      </c>
      <c r="F220" s="77">
        <v>0</v>
      </c>
      <c r="G220" s="77">
        <v>0</v>
      </c>
      <c r="H220" s="79" t="s">
        <v>15</v>
      </c>
      <c r="I220" s="77">
        <v>1528.4499816894499</v>
      </c>
      <c r="J220" s="79">
        <v>-1</v>
      </c>
      <c r="K220" s="77">
        <v>541.67999267578102</v>
      </c>
      <c r="L220" s="77">
        <v>0</v>
      </c>
      <c r="M220" s="79" t="s">
        <v>15</v>
      </c>
      <c r="N220" s="77">
        <v>20248.1700801849</v>
      </c>
      <c r="O220" s="79">
        <v>-0.97</v>
      </c>
      <c r="P220" s="78">
        <v>0</v>
      </c>
      <c r="Q220" s="77">
        <v>0</v>
      </c>
      <c r="R220" s="77">
        <v>0</v>
      </c>
    </row>
    <row r="221" spans="1:18">
      <c r="A221" s="77" t="s">
        <v>50</v>
      </c>
      <c r="B221" s="77" t="s">
        <v>156</v>
      </c>
      <c r="C221" s="77" t="s">
        <v>121</v>
      </c>
      <c r="D221" s="77" t="s">
        <v>62</v>
      </c>
      <c r="E221" s="77">
        <v>0</v>
      </c>
      <c r="F221" s="77">
        <v>0</v>
      </c>
      <c r="G221" s="77">
        <v>13541.666666666701</v>
      </c>
      <c r="H221" s="79">
        <v>-1</v>
      </c>
      <c r="I221" s="77">
        <v>48588.910003662102</v>
      </c>
      <c r="J221" s="79">
        <v>-1</v>
      </c>
      <c r="K221" s="77">
        <v>344776.059690475</v>
      </c>
      <c r="L221" s="77">
        <v>436541.66666666698</v>
      </c>
      <c r="M221" s="79">
        <v>-0.21</v>
      </c>
      <c r="N221" s="77">
        <v>413031.07864666003</v>
      </c>
      <c r="O221" s="79">
        <v>-0.17</v>
      </c>
      <c r="P221" s="78">
        <v>3421.0526315789498</v>
      </c>
      <c r="Q221" s="77">
        <v>0</v>
      </c>
      <c r="R221" s="77">
        <v>0</v>
      </c>
    </row>
    <row r="222" spans="1:18">
      <c r="A222" s="77" t="s">
        <v>50</v>
      </c>
      <c r="B222" s="77" t="s">
        <v>156</v>
      </c>
      <c r="C222" s="77" t="s">
        <v>121</v>
      </c>
      <c r="D222" s="77" t="s">
        <v>6</v>
      </c>
      <c r="E222" s="77">
        <v>0</v>
      </c>
      <c r="F222" s="77">
        <v>0</v>
      </c>
      <c r="G222" s="77">
        <v>7916.6666666666697</v>
      </c>
      <c r="H222" s="79">
        <v>-1</v>
      </c>
      <c r="I222" s="77">
        <v>35163.300043106101</v>
      </c>
      <c r="J222" s="79">
        <v>-1</v>
      </c>
      <c r="K222" s="77">
        <v>181761.770654678</v>
      </c>
      <c r="L222" s="77">
        <v>157916.66666666701</v>
      </c>
      <c r="M222" s="79">
        <v>0.15</v>
      </c>
      <c r="N222" s="77">
        <v>219907.09964180001</v>
      </c>
      <c r="O222" s="79">
        <v>-0.17</v>
      </c>
      <c r="P222" s="78">
        <v>2000</v>
      </c>
      <c r="Q222" s="77">
        <v>0</v>
      </c>
      <c r="R222" s="77">
        <v>0</v>
      </c>
    </row>
    <row r="223" spans="1:18">
      <c r="A223" s="77" t="s">
        <v>50</v>
      </c>
      <c r="B223" s="77" t="s">
        <v>156</v>
      </c>
      <c r="C223" s="77" t="s">
        <v>121</v>
      </c>
      <c r="D223" s="77" t="s">
        <v>61</v>
      </c>
      <c r="E223" s="77">
        <v>0</v>
      </c>
      <c r="F223" s="77">
        <v>0</v>
      </c>
      <c r="G223" s="77">
        <v>5833.3333333333303</v>
      </c>
      <c r="H223" s="79">
        <v>-1</v>
      </c>
      <c r="I223" s="77">
        <v>26456.219558715798</v>
      </c>
      <c r="J223" s="79">
        <v>-1</v>
      </c>
      <c r="K223" s="77">
        <v>156014.19058227501</v>
      </c>
      <c r="L223" s="77">
        <v>158833.33333333299</v>
      </c>
      <c r="M223" s="79">
        <v>-0.02</v>
      </c>
      <c r="N223" s="77">
        <v>156148.55934143101</v>
      </c>
      <c r="O223" s="79">
        <v>0</v>
      </c>
      <c r="P223" s="78">
        <v>1473.6842105263199</v>
      </c>
      <c r="Q223" s="77">
        <v>0</v>
      </c>
      <c r="R223" s="77">
        <v>0</v>
      </c>
    </row>
    <row r="224" spans="1:18">
      <c r="A224" s="77" t="s">
        <v>50</v>
      </c>
      <c r="B224" s="77" t="s">
        <v>156</v>
      </c>
      <c r="C224" s="77" t="s">
        <v>121</v>
      </c>
      <c r="D224" s="77" t="s">
        <v>154</v>
      </c>
      <c r="E224" s="77">
        <v>0</v>
      </c>
      <c r="F224" s="77">
        <v>0</v>
      </c>
      <c r="G224" s="77">
        <v>0</v>
      </c>
      <c r="H224" s="79" t="s">
        <v>15</v>
      </c>
      <c r="I224" s="77">
        <v>0</v>
      </c>
      <c r="J224" s="79" t="s">
        <v>15</v>
      </c>
      <c r="K224" s="77">
        <v>0</v>
      </c>
      <c r="L224" s="77">
        <v>0</v>
      </c>
      <c r="M224" s="79" t="s">
        <v>15</v>
      </c>
      <c r="N224" s="77">
        <v>0</v>
      </c>
      <c r="O224" s="79" t="s">
        <v>15</v>
      </c>
      <c r="P224" s="78">
        <v>0</v>
      </c>
      <c r="Q224" s="77">
        <v>0</v>
      </c>
      <c r="R224" s="77">
        <v>0</v>
      </c>
    </row>
    <row r="225" spans="1:18">
      <c r="A225" s="77" t="s">
        <v>50</v>
      </c>
      <c r="B225" s="77" t="s">
        <v>156</v>
      </c>
      <c r="C225" s="77" t="s">
        <v>121</v>
      </c>
      <c r="D225" s="77" t="s">
        <v>60</v>
      </c>
      <c r="E225" s="77">
        <v>0</v>
      </c>
      <c r="F225" s="77">
        <v>0</v>
      </c>
      <c r="G225" s="77">
        <v>34791.666666666701</v>
      </c>
      <c r="H225" s="79">
        <v>-1</v>
      </c>
      <c r="I225" s="77">
        <v>159813.57</v>
      </c>
      <c r="J225" s="79">
        <v>-1</v>
      </c>
      <c r="K225" s="77">
        <v>1010184.29</v>
      </c>
      <c r="L225" s="77">
        <v>1164791.66666667</v>
      </c>
      <c r="M225" s="79">
        <v>-0.13</v>
      </c>
      <c r="N225" s="77">
        <v>1207910.05</v>
      </c>
      <c r="O225" s="79">
        <v>-0.16</v>
      </c>
      <c r="P225" s="78">
        <v>8789.4736842105303</v>
      </c>
      <c r="Q225" s="77">
        <v>0</v>
      </c>
      <c r="R225" s="77">
        <v>0</v>
      </c>
    </row>
    <row r="226" spans="1:18">
      <c r="A226" s="77" t="s">
        <v>50</v>
      </c>
      <c r="B226" s="77" t="s">
        <v>55</v>
      </c>
      <c r="C226" s="77" t="s">
        <v>55</v>
      </c>
      <c r="D226" s="77" t="s">
        <v>49</v>
      </c>
      <c r="E226" s="77">
        <v>94.32</v>
      </c>
      <c r="F226" s="77">
        <v>13542.400070190401</v>
      </c>
      <c r="G226" s="209">
        <v>155208.33333333299</v>
      </c>
      <c r="H226" s="79">
        <v>-0.91</v>
      </c>
      <c r="I226" s="77">
        <v>817206.33215332101</v>
      </c>
      <c r="J226" s="79">
        <v>-0.98</v>
      </c>
      <c r="K226" s="77">
        <v>13381000.678257</v>
      </c>
      <c r="L226" s="77">
        <v>12568208.3333333</v>
      </c>
      <c r="M226" s="79">
        <v>0.06</v>
      </c>
      <c r="N226" s="77">
        <v>13643995.2537007</v>
      </c>
      <c r="O226" s="79">
        <v>-0.02</v>
      </c>
      <c r="P226" s="78">
        <v>38497.768417358398</v>
      </c>
      <c r="Q226" s="77">
        <v>6509.5925366666697</v>
      </c>
      <c r="R226" s="77">
        <v>0</v>
      </c>
    </row>
    <row r="227" spans="1:18">
      <c r="A227" s="77" t="s">
        <v>50</v>
      </c>
      <c r="B227" s="77" t="s">
        <v>55</v>
      </c>
      <c r="C227" s="77" t="s">
        <v>55</v>
      </c>
      <c r="D227" s="77" t="s">
        <v>191</v>
      </c>
      <c r="E227" s="77">
        <v>296.45</v>
      </c>
      <c r="F227" s="77">
        <v>19885.610084533699</v>
      </c>
      <c r="G227" s="209">
        <v>37500.000000000102</v>
      </c>
      <c r="H227" s="79">
        <v>-0.47</v>
      </c>
      <c r="I227" s="77">
        <v>184042.40441513099</v>
      </c>
      <c r="J227" s="79">
        <v>-0.89</v>
      </c>
      <c r="K227" s="77">
        <v>3110091.88708831</v>
      </c>
      <c r="L227" s="77">
        <v>4352500.0000000102</v>
      </c>
      <c r="M227" s="79">
        <v>-0.28999999999999998</v>
      </c>
      <c r="N227" s="77">
        <v>3619339.8234691601</v>
      </c>
      <c r="O227" s="79">
        <v>-0.14000000000000001</v>
      </c>
      <c r="P227" s="78">
        <v>8427.0731534455899</v>
      </c>
      <c r="Q227" s="77">
        <v>12898.9141666667</v>
      </c>
      <c r="R227" s="77">
        <v>0</v>
      </c>
    </row>
    <row r="228" spans="1:18">
      <c r="A228" s="77" t="s">
        <v>50</v>
      </c>
      <c r="B228" s="77" t="s">
        <v>55</v>
      </c>
      <c r="C228" s="77" t="s">
        <v>55</v>
      </c>
      <c r="D228" s="77" t="s">
        <v>47</v>
      </c>
      <c r="E228" s="77">
        <v>-52.33</v>
      </c>
      <c r="F228" s="77">
        <v>485.030004501343</v>
      </c>
      <c r="G228" s="77">
        <v>28125</v>
      </c>
      <c r="H228" s="79">
        <v>-0.98</v>
      </c>
      <c r="I228" s="77">
        <v>16111.060958862299</v>
      </c>
      <c r="J228" s="79">
        <v>-0.97</v>
      </c>
      <c r="K228" s="77">
        <v>4878021.1278405199</v>
      </c>
      <c r="L228" s="77">
        <v>6013125</v>
      </c>
      <c r="M228" s="79">
        <v>-0.19</v>
      </c>
      <c r="N228" s="77">
        <v>6146767.9449262703</v>
      </c>
      <c r="O228" s="79">
        <v>-0.21</v>
      </c>
      <c r="P228" s="78">
        <v>7079.7352629209799</v>
      </c>
      <c r="Q228" s="77">
        <v>2128.5517725</v>
      </c>
      <c r="R228" s="77">
        <v>0</v>
      </c>
    </row>
    <row r="229" spans="1:18">
      <c r="A229" s="77" t="s">
        <v>50</v>
      </c>
      <c r="B229" s="77" t="s">
        <v>55</v>
      </c>
      <c r="C229" s="77" t="s">
        <v>55</v>
      </c>
      <c r="D229" s="77" t="s">
        <v>62</v>
      </c>
      <c r="E229" s="77">
        <v>2834.77</v>
      </c>
      <c r="F229" s="77">
        <v>13413.4699172974</v>
      </c>
      <c r="G229" s="77">
        <v>385416.66666666698</v>
      </c>
      <c r="H229" s="79">
        <v>-0.97</v>
      </c>
      <c r="I229" s="77">
        <v>979869.972215652</v>
      </c>
      <c r="J229" s="79">
        <v>-0.99</v>
      </c>
      <c r="K229" s="77">
        <v>10930776.320989599</v>
      </c>
      <c r="L229" s="77">
        <v>12795416.6666667</v>
      </c>
      <c r="M229" s="79">
        <v>-0.15</v>
      </c>
      <c r="N229" s="77">
        <v>12177318.8707562</v>
      </c>
      <c r="O229" s="79">
        <v>-0.1</v>
      </c>
      <c r="P229" s="78">
        <v>96662.448951721104</v>
      </c>
      <c r="Q229" s="77">
        <v>21357.10125</v>
      </c>
      <c r="R229" s="77">
        <v>0</v>
      </c>
    </row>
    <row r="230" spans="1:18">
      <c r="A230" s="77" t="s">
        <v>50</v>
      </c>
      <c r="B230" s="77" t="s">
        <v>55</v>
      </c>
      <c r="C230" s="77" t="s">
        <v>55</v>
      </c>
      <c r="D230" s="77" t="s">
        <v>6</v>
      </c>
      <c r="E230" s="77">
        <v>497.84</v>
      </c>
      <c r="F230" s="77">
        <v>11967.640228271501</v>
      </c>
      <c r="G230" s="77">
        <v>19791.666666666701</v>
      </c>
      <c r="H230" s="79">
        <v>-0.4</v>
      </c>
      <c r="I230" s="77">
        <v>100687.32997178999</v>
      </c>
      <c r="J230" s="79">
        <v>-0.88</v>
      </c>
      <c r="K230" s="77">
        <v>692175.52959918894</v>
      </c>
      <c r="L230" s="77">
        <v>2759791.6666666698</v>
      </c>
      <c r="M230" s="79">
        <v>-0.75</v>
      </c>
      <c r="N230" s="77">
        <v>1260547.79953003</v>
      </c>
      <c r="O230" s="79">
        <v>-0.45</v>
      </c>
      <c r="P230" s="78">
        <v>4370.1241985120296</v>
      </c>
      <c r="Q230" s="77">
        <v>3800.6374999999998</v>
      </c>
      <c r="R230" s="77">
        <v>0</v>
      </c>
    </row>
    <row r="231" spans="1:18">
      <c r="A231" s="77" t="s">
        <v>50</v>
      </c>
      <c r="B231" s="77" t="s">
        <v>55</v>
      </c>
      <c r="C231" s="77" t="s">
        <v>55</v>
      </c>
      <c r="D231" s="77" t="s">
        <v>61</v>
      </c>
      <c r="E231" s="77">
        <v>701.33</v>
      </c>
      <c r="F231" s="77">
        <v>1446.50001525879</v>
      </c>
      <c r="G231" s="77">
        <v>19791.666666666701</v>
      </c>
      <c r="H231" s="79">
        <v>-0.93</v>
      </c>
      <c r="I231" s="77">
        <v>18100.899810791001</v>
      </c>
      <c r="J231" s="79">
        <v>-0.92</v>
      </c>
      <c r="K231" s="77">
        <v>351960.05821991002</v>
      </c>
      <c r="L231" s="77">
        <v>799791.66666666698</v>
      </c>
      <c r="M231" s="79">
        <v>-0.56000000000000005</v>
      </c>
      <c r="N231" s="77">
        <v>308882.16698265099</v>
      </c>
      <c r="O231" s="79">
        <v>0.14000000000000001</v>
      </c>
      <c r="P231" s="78">
        <v>4923.8684202495397</v>
      </c>
      <c r="Q231" s="77">
        <v>4149.4032141666703</v>
      </c>
      <c r="R231" s="77">
        <v>0</v>
      </c>
    </row>
    <row r="232" spans="1:18">
      <c r="A232" s="77" t="s">
        <v>50</v>
      </c>
      <c r="B232" s="77" t="s">
        <v>55</v>
      </c>
      <c r="C232" s="77" t="s">
        <v>55</v>
      </c>
      <c r="D232" s="77" t="s">
        <v>154</v>
      </c>
      <c r="E232" s="77">
        <v>0</v>
      </c>
      <c r="F232" s="77">
        <v>0</v>
      </c>
      <c r="G232" s="77">
        <v>0</v>
      </c>
      <c r="H232" s="79" t="s">
        <v>15</v>
      </c>
      <c r="I232" s="77">
        <v>0</v>
      </c>
      <c r="J232" s="79" t="s">
        <v>15</v>
      </c>
      <c r="K232" s="77">
        <v>0</v>
      </c>
      <c r="L232" s="77">
        <v>0</v>
      </c>
      <c r="M232" s="79" t="s">
        <v>15</v>
      </c>
      <c r="N232" s="77">
        <v>0</v>
      </c>
      <c r="O232" s="79" t="s">
        <v>15</v>
      </c>
      <c r="P232" s="78">
        <v>0</v>
      </c>
      <c r="Q232" s="77">
        <v>0</v>
      </c>
      <c r="R232" s="77">
        <v>0</v>
      </c>
    </row>
    <row r="233" spans="1:18">
      <c r="A233" s="77" t="s">
        <v>50</v>
      </c>
      <c r="B233" s="77" t="s">
        <v>55</v>
      </c>
      <c r="C233" s="77" t="s">
        <v>55</v>
      </c>
      <c r="D233" s="77" t="s">
        <v>60</v>
      </c>
      <c r="E233" s="77">
        <v>8960.0999999999894</v>
      </c>
      <c r="F233" s="77">
        <v>126472.32000000001</v>
      </c>
      <c r="G233" s="77">
        <v>887500</v>
      </c>
      <c r="H233" s="79">
        <v>-0.86</v>
      </c>
      <c r="I233" s="77">
        <v>3710037.36</v>
      </c>
      <c r="J233" s="79">
        <v>-0.97</v>
      </c>
      <c r="K233" s="77">
        <v>54594079.850000001</v>
      </c>
      <c r="L233" s="77">
        <v>55277500</v>
      </c>
      <c r="M233" s="79">
        <v>-0.01</v>
      </c>
      <c r="N233" s="77">
        <v>57297099.119999997</v>
      </c>
      <c r="O233" s="79">
        <v>-0.05</v>
      </c>
      <c r="P233" s="78">
        <v>217554.08842105299</v>
      </c>
      <c r="Q233" s="77">
        <v>123920.209706667</v>
      </c>
      <c r="R233" s="77">
        <v>0</v>
      </c>
    </row>
    <row r="234" spans="1:18">
      <c r="A234" s="77" t="s">
        <v>50</v>
      </c>
      <c r="B234" s="77" t="s">
        <v>57</v>
      </c>
      <c r="C234" s="77" t="s">
        <v>146</v>
      </c>
      <c r="D234" s="77" t="s">
        <v>49</v>
      </c>
      <c r="E234" s="77">
        <v>7127.67</v>
      </c>
      <c r="F234" s="77">
        <v>31552.480087280299</v>
      </c>
      <c r="G234" s="77">
        <v>66666.666666666701</v>
      </c>
      <c r="H234" s="79">
        <v>-0.53</v>
      </c>
      <c r="I234" s="77">
        <v>267445.639190674</v>
      </c>
      <c r="J234" s="79">
        <v>-0.88</v>
      </c>
      <c r="K234" s="77">
        <v>1884107.68030548</v>
      </c>
      <c r="L234" s="77">
        <v>2151166.6666666698</v>
      </c>
      <c r="M234" s="79">
        <v>-0.12</v>
      </c>
      <c r="N234" s="77">
        <v>2155766.0424632998</v>
      </c>
      <c r="O234" s="79">
        <v>-0.13</v>
      </c>
      <c r="P234" s="78">
        <v>15181.448416458899</v>
      </c>
      <c r="Q234" s="77">
        <v>10388.5864166667</v>
      </c>
      <c r="R234" s="77">
        <v>0</v>
      </c>
    </row>
    <row r="235" spans="1:18">
      <c r="A235" s="77" t="s">
        <v>50</v>
      </c>
      <c r="B235" s="77" t="s">
        <v>57</v>
      </c>
      <c r="C235" s="77" t="s">
        <v>146</v>
      </c>
      <c r="D235" s="77" t="s">
        <v>191</v>
      </c>
      <c r="E235" s="77">
        <v>2450.23</v>
      </c>
      <c r="F235" s="77">
        <v>8772.4399662017804</v>
      </c>
      <c r="G235" s="77">
        <v>16666.666666666701</v>
      </c>
      <c r="H235" s="79">
        <v>-0.47</v>
      </c>
      <c r="I235" s="77">
        <v>71904.179744720503</v>
      </c>
      <c r="J235" s="79">
        <v>-0.88</v>
      </c>
      <c r="K235" s="77">
        <v>416131.22027015698</v>
      </c>
      <c r="L235" s="77">
        <v>723666.666666665</v>
      </c>
      <c r="M235" s="79">
        <v>-0.42</v>
      </c>
      <c r="N235" s="77">
        <v>462663.59023307799</v>
      </c>
      <c r="O235" s="79">
        <v>-0.1</v>
      </c>
      <c r="P235" s="78">
        <v>3748.8189491472699</v>
      </c>
      <c r="Q235" s="77">
        <v>2167.9166666666702</v>
      </c>
      <c r="R235" s="77">
        <v>0</v>
      </c>
    </row>
    <row r="236" spans="1:18">
      <c r="A236" s="77" t="s">
        <v>50</v>
      </c>
      <c r="B236" s="77" t="s">
        <v>57</v>
      </c>
      <c r="C236" s="77" t="s">
        <v>146</v>
      </c>
      <c r="D236" s="77" t="s">
        <v>47</v>
      </c>
      <c r="E236" s="77">
        <v>2009.27</v>
      </c>
      <c r="F236" s="77">
        <v>7748.76003074647</v>
      </c>
      <c r="G236" s="77">
        <v>24166.666666666701</v>
      </c>
      <c r="H236" s="79">
        <v>-0.68</v>
      </c>
      <c r="I236" s="77">
        <v>68776.939271926996</v>
      </c>
      <c r="J236" s="79">
        <v>-0.89</v>
      </c>
      <c r="K236" s="77">
        <v>1755179.5777819201</v>
      </c>
      <c r="L236" s="77">
        <v>1578666.66666667</v>
      </c>
      <c r="M236" s="79">
        <v>0.11</v>
      </c>
      <c r="N236" s="77">
        <v>1511826.1037363999</v>
      </c>
      <c r="O236" s="79">
        <v>0.16</v>
      </c>
      <c r="P236" s="78">
        <v>5697.4336825922901</v>
      </c>
      <c r="Q236" s="77">
        <v>909.76200500000004</v>
      </c>
      <c r="R236" s="77">
        <v>0</v>
      </c>
    </row>
    <row r="237" spans="1:18">
      <c r="A237" s="77" t="s">
        <v>50</v>
      </c>
      <c r="B237" s="77" t="s">
        <v>57</v>
      </c>
      <c r="C237" s="77" t="s">
        <v>146</v>
      </c>
      <c r="D237" s="77" t="s">
        <v>62</v>
      </c>
      <c r="E237" s="77">
        <v>7640.94</v>
      </c>
      <c r="F237" s="77">
        <v>40584.469981193601</v>
      </c>
      <c r="G237" s="77">
        <v>66250</v>
      </c>
      <c r="H237" s="79">
        <v>-0.39</v>
      </c>
      <c r="I237" s="77">
        <v>238284.919660568</v>
      </c>
      <c r="J237" s="79">
        <v>-0.83</v>
      </c>
      <c r="K237" s="77">
        <v>2033754.7557830799</v>
      </c>
      <c r="L237" s="77">
        <v>2014250</v>
      </c>
      <c r="M237" s="79">
        <v>0.01</v>
      </c>
      <c r="N237" s="77">
        <v>1981135.8090333899</v>
      </c>
      <c r="O237" s="79">
        <v>0.03</v>
      </c>
      <c r="P237" s="78">
        <v>14600.817369410899</v>
      </c>
      <c r="Q237" s="77">
        <v>11858.708333333299</v>
      </c>
      <c r="R237" s="77">
        <v>0</v>
      </c>
    </row>
    <row r="238" spans="1:18">
      <c r="A238" s="77" t="s">
        <v>50</v>
      </c>
      <c r="B238" s="77" t="s">
        <v>57</v>
      </c>
      <c r="C238" s="77" t="s">
        <v>146</v>
      </c>
      <c r="D238" s="77" t="s">
        <v>6</v>
      </c>
      <c r="E238" s="77">
        <v>4904.29</v>
      </c>
      <c r="F238" s="77">
        <v>23454.459984779402</v>
      </c>
      <c r="G238" s="77">
        <v>37916.666666666701</v>
      </c>
      <c r="H238" s="79">
        <v>-0.38</v>
      </c>
      <c r="I238" s="77">
        <v>129066.75996303601</v>
      </c>
      <c r="J238" s="79">
        <v>-0.82</v>
      </c>
      <c r="K238" s="77">
        <v>694522.03097820305</v>
      </c>
      <c r="L238" s="77">
        <v>1043916.66666667</v>
      </c>
      <c r="M238" s="79">
        <v>-0.33</v>
      </c>
      <c r="N238" s="77">
        <v>813316.74164962699</v>
      </c>
      <c r="O238" s="79">
        <v>-0.15</v>
      </c>
      <c r="P238" s="78">
        <v>8344.5021060642393</v>
      </c>
      <c r="Q238" s="77">
        <v>7489.0833333333303</v>
      </c>
      <c r="R238" s="77">
        <v>0</v>
      </c>
    </row>
    <row r="239" spans="1:18">
      <c r="A239" s="77" t="s">
        <v>50</v>
      </c>
      <c r="B239" s="77" t="s">
        <v>57</v>
      </c>
      <c r="C239" s="77" t="s">
        <v>146</v>
      </c>
      <c r="D239" s="77" t="s">
        <v>61</v>
      </c>
      <c r="E239" s="77">
        <v>3501.96</v>
      </c>
      <c r="F239" s="77">
        <v>15897.239906311001</v>
      </c>
      <c r="G239" s="77">
        <v>22708.333333333299</v>
      </c>
      <c r="H239" s="79">
        <v>-0.3</v>
      </c>
      <c r="I239" s="77">
        <v>46346.220008850098</v>
      </c>
      <c r="J239" s="79">
        <v>-0.66</v>
      </c>
      <c r="K239" s="77">
        <v>474439.20950985001</v>
      </c>
      <c r="L239" s="77">
        <v>616708.33333333302</v>
      </c>
      <c r="M239" s="79">
        <v>-0.23</v>
      </c>
      <c r="N239" s="77">
        <v>413148.41991806001</v>
      </c>
      <c r="O239" s="79">
        <v>0.15</v>
      </c>
      <c r="P239" s="78">
        <v>4900.1452680888897</v>
      </c>
      <c r="Q239" s="77">
        <v>2004.335075</v>
      </c>
      <c r="R239" s="77">
        <v>0</v>
      </c>
    </row>
    <row r="240" spans="1:18">
      <c r="A240" s="77" t="s">
        <v>50</v>
      </c>
      <c r="B240" s="77" t="s">
        <v>57</v>
      </c>
      <c r="C240" s="77" t="s">
        <v>146</v>
      </c>
      <c r="D240" s="77" t="s">
        <v>154</v>
      </c>
      <c r="E240" s="77">
        <v>0</v>
      </c>
      <c r="F240" s="77">
        <v>0</v>
      </c>
      <c r="G240" s="77">
        <v>0</v>
      </c>
      <c r="H240" s="79" t="s">
        <v>15</v>
      </c>
      <c r="I240" s="77">
        <v>0</v>
      </c>
      <c r="J240" s="79" t="s">
        <v>15</v>
      </c>
      <c r="K240" s="77">
        <v>0</v>
      </c>
      <c r="L240" s="77">
        <v>0</v>
      </c>
      <c r="M240" s="79" t="s">
        <v>15</v>
      </c>
      <c r="N240" s="77">
        <v>0</v>
      </c>
      <c r="O240" s="79" t="s">
        <v>15</v>
      </c>
      <c r="P240" s="78">
        <v>0</v>
      </c>
      <c r="Q240" s="77">
        <v>0</v>
      </c>
      <c r="R240" s="77">
        <v>0</v>
      </c>
    </row>
    <row r="241" spans="1:18">
      <c r="A241" s="77" t="s">
        <v>50</v>
      </c>
      <c r="B241" s="77" t="s">
        <v>57</v>
      </c>
      <c r="C241" s="77" t="s">
        <v>146</v>
      </c>
      <c r="D241" s="77" t="s">
        <v>60</v>
      </c>
      <c r="E241" s="77">
        <v>40162.269999999997</v>
      </c>
      <c r="F241" s="77">
        <v>179061.13</v>
      </c>
      <c r="G241" s="77">
        <v>315208.33333333302</v>
      </c>
      <c r="H241" s="79">
        <v>-0.43</v>
      </c>
      <c r="I241" s="77">
        <v>1130193.6200000001</v>
      </c>
      <c r="J241" s="79">
        <v>-0.84</v>
      </c>
      <c r="K241" s="77">
        <v>10729242.779999999</v>
      </c>
      <c r="L241" s="77">
        <v>10855208.3333333</v>
      </c>
      <c r="M241" s="79">
        <v>-0.01</v>
      </c>
      <c r="N241" s="77">
        <v>10693478.18</v>
      </c>
      <c r="O241" s="79">
        <v>0</v>
      </c>
      <c r="P241" s="78">
        <v>70207.308947368394</v>
      </c>
      <c r="Q241" s="77">
        <v>59226.178913333402</v>
      </c>
      <c r="R241" s="77">
        <v>0</v>
      </c>
    </row>
    <row r="242" spans="1:18">
      <c r="A242" s="77" t="s">
        <v>50</v>
      </c>
      <c r="B242" s="77" t="s">
        <v>58</v>
      </c>
      <c r="C242" s="77" t="s">
        <v>160</v>
      </c>
      <c r="D242" s="77" t="s">
        <v>49</v>
      </c>
      <c r="E242" s="77">
        <v>17278.37</v>
      </c>
      <c r="F242" s="77">
        <v>54193.420684814497</v>
      </c>
      <c r="G242" s="77">
        <v>64166.666666666701</v>
      </c>
      <c r="H242" s="79">
        <v>-0.16</v>
      </c>
      <c r="I242" s="77">
        <v>273611.84887695301</v>
      </c>
      <c r="J242" s="79">
        <v>-0.8</v>
      </c>
      <c r="K242" s="77">
        <v>1741932.8078479699</v>
      </c>
      <c r="L242" s="77">
        <v>2259166.6666666698</v>
      </c>
      <c r="M242" s="79">
        <v>-0.23</v>
      </c>
      <c r="N242" s="77">
        <v>2254313.9044399299</v>
      </c>
      <c r="O242" s="79">
        <v>-0.23</v>
      </c>
      <c r="P242" s="78">
        <v>13358.241016588699</v>
      </c>
      <c r="Q242" s="77">
        <v>7577.9338333333299</v>
      </c>
      <c r="R242" s="77">
        <v>0</v>
      </c>
    </row>
    <row r="243" spans="1:18">
      <c r="A243" s="77" t="s">
        <v>50</v>
      </c>
      <c r="B243" s="77" t="s">
        <v>58</v>
      </c>
      <c r="C243" s="77" t="s">
        <v>160</v>
      </c>
      <c r="D243" s="77" t="s">
        <v>191</v>
      </c>
      <c r="E243" s="77">
        <v>1280.5999999999999</v>
      </c>
      <c r="F243" s="77">
        <v>8712.0799522399902</v>
      </c>
      <c r="G243" s="77">
        <v>17708.333333333299</v>
      </c>
      <c r="H243" s="79">
        <v>-0.51</v>
      </c>
      <c r="I243" s="77">
        <v>70428.739896774307</v>
      </c>
      <c r="J243" s="79">
        <v>-0.88</v>
      </c>
      <c r="K243" s="77">
        <v>406422.82965087902</v>
      </c>
      <c r="L243" s="77">
        <v>735708.33333333302</v>
      </c>
      <c r="M243" s="79">
        <v>-0.45</v>
      </c>
      <c r="N243" s="77">
        <v>441670.01000976597</v>
      </c>
      <c r="O243" s="79">
        <v>-0.08</v>
      </c>
      <c r="P243" s="78">
        <v>4015.1536867242098</v>
      </c>
      <c r="Q243" s="77">
        <v>2409.9166666666601</v>
      </c>
      <c r="R243" s="77">
        <v>0</v>
      </c>
    </row>
    <row r="244" spans="1:18">
      <c r="A244" s="77" t="s">
        <v>50</v>
      </c>
      <c r="B244" s="77" t="s">
        <v>58</v>
      </c>
      <c r="C244" s="77" t="s">
        <v>160</v>
      </c>
      <c r="D244" s="77" t="s">
        <v>47</v>
      </c>
      <c r="E244" s="77">
        <v>4886.8599999999997</v>
      </c>
      <c r="F244" s="77">
        <v>12183.719995498701</v>
      </c>
      <c r="G244" s="77">
        <v>18645.833333333299</v>
      </c>
      <c r="H244" s="79">
        <v>-0.35</v>
      </c>
      <c r="I244" s="77">
        <v>71755.589660644604</v>
      </c>
      <c r="J244" s="79">
        <v>-0.83</v>
      </c>
      <c r="K244" s="77">
        <v>1382199.3746867201</v>
      </c>
      <c r="L244" s="77">
        <v>1668645.83333333</v>
      </c>
      <c r="M244" s="79">
        <v>-0.17</v>
      </c>
      <c r="N244" s="77">
        <v>1680393.9775624301</v>
      </c>
      <c r="O244" s="79">
        <v>-0.18</v>
      </c>
      <c r="P244" s="78">
        <v>4069.2778949737599</v>
      </c>
      <c r="Q244" s="77">
        <v>1863.1766658333299</v>
      </c>
      <c r="R244" s="77">
        <v>0</v>
      </c>
    </row>
    <row r="245" spans="1:18">
      <c r="A245" s="77" t="s">
        <v>50</v>
      </c>
      <c r="B245" s="77" t="s">
        <v>58</v>
      </c>
      <c r="C245" s="77" t="s">
        <v>160</v>
      </c>
      <c r="D245" s="77" t="s">
        <v>62</v>
      </c>
      <c r="E245" s="77">
        <v>10635.43</v>
      </c>
      <c r="F245" s="77">
        <v>56350.810182571397</v>
      </c>
      <c r="G245" s="77">
        <v>82291.666666666802</v>
      </c>
      <c r="H245" s="79">
        <v>-0.32</v>
      </c>
      <c r="I245" s="77">
        <v>343887.079841614</v>
      </c>
      <c r="J245" s="79">
        <v>-0.84</v>
      </c>
      <c r="K245" s="77">
        <v>2079330.05867386</v>
      </c>
      <c r="L245" s="77">
        <v>2390291.6666666698</v>
      </c>
      <c r="M245" s="79">
        <v>-0.13</v>
      </c>
      <c r="N245" s="77">
        <v>2416945.5885155099</v>
      </c>
      <c r="O245" s="79">
        <v>-0.14000000000000001</v>
      </c>
      <c r="P245" s="78">
        <v>17823.641569338401</v>
      </c>
      <c r="Q245" s="77">
        <v>5703.5833333333303</v>
      </c>
      <c r="R245" s="77">
        <v>0</v>
      </c>
    </row>
    <row r="246" spans="1:18">
      <c r="A246" s="77" t="s">
        <v>50</v>
      </c>
      <c r="B246" s="77" t="s">
        <v>58</v>
      </c>
      <c r="C246" s="77" t="s">
        <v>160</v>
      </c>
      <c r="D246" s="77" t="s">
        <v>6</v>
      </c>
      <c r="E246" s="77">
        <v>5762.58</v>
      </c>
      <c r="F246" s="77">
        <v>37719.649991989099</v>
      </c>
      <c r="G246" s="77">
        <v>42708.333333333299</v>
      </c>
      <c r="H246" s="79">
        <v>-0.12</v>
      </c>
      <c r="I246" s="77">
        <v>184006.830453873</v>
      </c>
      <c r="J246" s="79">
        <v>-0.8</v>
      </c>
      <c r="K246" s="77">
        <v>795328.24113464402</v>
      </c>
      <c r="L246" s="77">
        <v>1018708.33333333</v>
      </c>
      <c r="M246" s="79">
        <v>-0.22</v>
      </c>
      <c r="N246" s="77">
        <v>1016512.8913421599</v>
      </c>
      <c r="O246" s="79">
        <v>-0.22</v>
      </c>
      <c r="P246" s="78">
        <v>8804.2289477900395</v>
      </c>
      <c r="Q246" s="77">
        <v>2269.1666666666601</v>
      </c>
      <c r="R246" s="77">
        <v>0</v>
      </c>
    </row>
    <row r="247" spans="1:18">
      <c r="A247" s="77" t="s">
        <v>50</v>
      </c>
      <c r="B247" s="77" t="s">
        <v>58</v>
      </c>
      <c r="C247" s="77" t="s">
        <v>160</v>
      </c>
      <c r="D247" s="77" t="s">
        <v>61</v>
      </c>
      <c r="E247" s="77">
        <v>3667.64</v>
      </c>
      <c r="F247" s="77">
        <v>23771.780139923099</v>
      </c>
      <c r="G247" s="77">
        <v>26875</v>
      </c>
      <c r="H247" s="79">
        <v>-0.12</v>
      </c>
      <c r="I247" s="77">
        <v>109140.39952278099</v>
      </c>
      <c r="J247" s="79">
        <v>-0.78</v>
      </c>
      <c r="K247" s="77">
        <v>533644.63020324602</v>
      </c>
      <c r="L247" s="77">
        <v>726875</v>
      </c>
      <c r="M247" s="79">
        <v>-0.27</v>
      </c>
      <c r="N247" s="77">
        <v>598059.498738289</v>
      </c>
      <c r="O247" s="79">
        <v>-0.11</v>
      </c>
      <c r="P247" s="78">
        <v>5538.3273610566803</v>
      </c>
      <c r="Q247" s="77">
        <v>2700.4012499999999</v>
      </c>
      <c r="R247" s="77">
        <v>0</v>
      </c>
    </row>
    <row r="248" spans="1:18">
      <c r="A248" s="77" t="s">
        <v>50</v>
      </c>
      <c r="B248" s="77" t="s">
        <v>58</v>
      </c>
      <c r="C248" s="77" t="s">
        <v>160</v>
      </c>
      <c r="D248" s="77" t="s">
        <v>154</v>
      </c>
      <c r="E248" s="77">
        <v>0</v>
      </c>
      <c r="F248" s="77">
        <v>0</v>
      </c>
      <c r="G248" s="77">
        <v>0</v>
      </c>
      <c r="H248" s="79" t="s">
        <v>15</v>
      </c>
      <c r="I248" s="77">
        <v>0</v>
      </c>
      <c r="J248" s="79" t="s">
        <v>15</v>
      </c>
      <c r="K248" s="77">
        <v>0</v>
      </c>
      <c r="L248" s="77">
        <v>0</v>
      </c>
      <c r="M248" s="79" t="s">
        <v>15</v>
      </c>
      <c r="N248" s="77">
        <v>0</v>
      </c>
      <c r="O248" s="79" t="s">
        <v>15</v>
      </c>
      <c r="P248" s="78">
        <v>0</v>
      </c>
      <c r="Q248" s="77">
        <v>0</v>
      </c>
      <c r="R248" s="77">
        <v>0</v>
      </c>
    </row>
    <row r="249" spans="1:18">
      <c r="A249" s="77" t="s">
        <v>50</v>
      </c>
      <c r="B249" s="77" t="s">
        <v>58</v>
      </c>
      <c r="C249" s="77" t="s">
        <v>160</v>
      </c>
      <c r="D249" s="77" t="s">
        <v>60</v>
      </c>
      <c r="E249" s="77">
        <v>60710.49</v>
      </c>
      <c r="F249" s="77">
        <v>285074.7</v>
      </c>
      <c r="G249" s="77">
        <v>347291.66666666698</v>
      </c>
      <c r="H249" s="79">
        <v>-0.18</v>
      </c>
      <c r="I249" s="77">
        <v>1487304.04</v>
      </c>
      <c r="J249" s="79">
        <v>-0.81</v>
      </c>
      <c r="K249" s="77">
        <v>10623354.960000001</v>
      </c>
      <c r="L249" s="77">
        <v>12214291.6666667</v>
      </c>
      <c r="M249" s="79">
        <v>-0.13</v>
      </c>
      <c r="N249" s="77">
        <v>12236543.76</v>
      </c>
      <c r="O249" s="79">
        <v>-0.13</v>
      </c>
      <c r="P249" s="78">
        <v>72732.910526315798</v>
      </c>
      <c r="Q249" s="77">
        <v>36521.7417491667</v>
      </c>
      <c r="R249" s="77">
        <v>0</v>
      </c>
    </row>
    <row r="250" spans="1:18">
      <c r="A250" s="77" t="s">
        <v>50</v>
      </c>
      <c r="B250" s="77" t="s">
        <v>59</v>
      </c>
      <c r="C250" s="77" t="s">
        <v>59</v>
      </c>
      <c r="D250" s="77" t="s">
        <v>49</v>
      </c>
      <c r="E250" s="77">
        <v>24500.36</v>
      </c>
      <c r="F250" s="77">
        <v>99288.3008422852</v>
      </c>
      <c r="G250" s="77">
        <v>286041.66666666698</v>
      </c>
      <c r="H250" s="79">
        <v>-0.65</v>
      </c>
      <c r="I250" s="77">
        <v>1358263.8202209501</v>
      </c>
      <c r="J250" s="79">
        <v>-0.93</v>
      </c>
      <c r="K250" s="77">
        <v>17007041.166410498</v>
      </c>
      <c r="L250" s="77">
        <v>16978541.666666701</v>
      </c>
      <c r="M250" s="79">
        <v>0</v>
      </c>
      <c r="N250" s="77">
        <v>18054075.200603999</v>
      </c>
      <c r="O250" s="79">
        <v>-0.06</v>
      </c>
      <c r="P250" s="78">
        <v>67037.457850406005</v>
      </c>
      <c r="Q250" s="77">
        <v>24476.112786666701</v>
      </c>
      <c r="R250" s="77">
        <v>0</v>
      </c>
    </row>
    <row r="251" spans="1:18">
      <c r="A251" s="77" t="s">
        <v>50</v>
      </c>
      <c r="B251" s="77" t="s">
        <v>59</v>
      </c>
      <c r="C251" s="77" t="s">
        <v>59</v>
      </c>
      <c r="D251" s="77" t="s">
        <v>191</v>
      </c>
      <c r="E251" s="77">
        <v>4027.28</v>
      </c>
      <c r="F251" s="77">
        <v>37370.1300029755</v>
      </c>
      <c r="G251" s="77">
        <v>71875</v>
      </c>
      <c r="H251" s="79">
        <v>-0.48</v>
      </c>
      <c r="I251" s="77">
        <v>326375.32405662502</v>
      </c>
      <c r="J251" s="79">
        <v>-0.89</v>
      </c>
      <c r="K251" s="77">
        <v>3932645.9370093402</v>
      </c>
      <c r="L251" s="77">
        <v>5811875</v>
      </c>
      <c r="M251" s="79">
        <v>-0.32</v>
      </c>
      <c r="N251" s="77">
        <v>4523673.4237120003</v>
      </c>
      <c r="O251" s="79">
        <v>-0.13</v>
      </c>
      <c r="P251" s="78">
        <v>16191.045789317101</v>
      </c>
      <c r="Q251" s="77">
        <v>17476.747500000001</v>
      </c>
      <c r="R251" s="77">
        <v>0</v>
      </c>
    </row>
    <row r="252" spans="1:18">
      <c r="A252" s="77" t="s">
        <v>50</v>
      </c>
      <c r="B252" s="77" t="s">
        <v>59</v>
      </c>
      <c r="C252" s="77" t="s">
        <v>59</v>
      </c>
      <c r="D252" s="77" t="s">
        <v>47</v>
      </c>
      <c r="E252" s="77">
        <v>6843.8</v>
      </c>
      <c r="F252" s="77">
        <v>20417.5100307465</v>
      </c>
      <c r="G252" s="77">
        <v>70937.5</v>
      </c>
      <c r="H252" s="79">
        <v>-0.71</v>
      </c>
      <c r="I252" s="77">
        <v>156643.58989143401</v>
      </c>
      <c r="J252" s="79">
        <v>-0.87</v>
      </c>
      <c r="K252" s="77">
        <v>8015400.0803091498</v>
      </c>
      <c r="L252" s="77">
        <v>9260437.5</v>
      </c>
      <c r="M252" s="79">
        <v>-0.13</v>
      </c>
      <c r="N252" s="77">
        <v>9338988.0262250993</v>
      </c>
      <c r="O252" s="79">
        <v>-0.14000000000000001</v>
      </c>
      <c r="P252" s="78">
        <v>16846.446840486999</v>
      </c>
      <c r="Q252" s="77">
        <v>4901.4904433333304</v>
      </c>
      <c r="R252" s="77">
        <v>0</v>
      </c>
    </row>
    <row r="253" spans="1:18">
      <c r="A253" s="77" t="s">
        <v>50</v>
      </c>
      <c r="B253" s="77" t="s">
        <v>59</v>
      </c>
      <c r="C253" s="77" t="s">
        <v>59</v>
      </c>
      <c r="D253" s="77" t="s">
        <v>62</v>
      </c>
      <c r="E253" s="77">
        <v>21111.14</v>
      </c>
      <c r="F253" s="77">
        <v>110348.750081062</v>
      </c>
      <c r="G253" s="77">
        <v>533958.33333333395</v>
      </c>
      <c r="H253" s="79">
        <v>-0.79</v>
      </c>
      <c r="I253" s="77">
        <v>1562041.97171783</v>
      </c>
      <c r="J253" s="79">
        <v>-0.93</v>
      </c>
      <c r="K253" s="77">
        <v>15043861.1354465</v>
      </c>
      <c r="L253" s="77">
        <v>17199958.333333299</v>
      </c>
      <c r="M253" s="79">
        <v>-0.13</v>
      </c>
      <c r="N253" s="77">
        <v>16575400.268305101</v>
      </c>
      <c r="O253" s="79">
        <v>-0.09</v>
      </c>
      <c r="P253" s="78">
        <v>129086.90789047</v>
      </c>
      <c r="Q253" s="77">
        <v>38919.3929166667</v>
      </c>
      <c r="R253" s="77">
        <v>0</v>
      </c>
    </row>
    <row r="254" spans="1:18">
      <c r="A254" s="77" t="s">
        <v>50</v>
      </c>
      <c r="B254" s="77" t="s">
        <v>59</v>
      </c>
      <c r="C254" s="77" t="s">
        <v>59</v>
      </c>
      <c r="D254" s="77" t="s">
        <v>6</v>
      </c>
      <c r="E254" s="77">
        <v>11164.71</v>
      </c>
      <c r="F254" s="77">
        <v>73141.750205040007</v>
      </c>
      <c r="G254" s="77">
        <v>100416.66666666701</v>
      </c>
      <c r="H254" s="79">
        <v>-0.27</v>
      </c>
      <c r="I254" s="77">
        <v>413760.920388698</v>
      </c>
      <c r="J254" s="79">
        <v>-0.82</v>
      </c>
      <c r="K254" s="77">
        <v>2182025.8017120399</v>
      </c>
      <c r="L254" s="77">
        <v>4822416.6666666698</v>
      </c>
      <c r="M254" s="79">
        <v>-0.55000000000000004</v>
      </c>
      <c r="N254" s="77">
        <v>3090377.4325218201</v>
      </c>
      <c r="O254" s="79">
        <v>-0.28999999999999998</v>
      </c>
      <c r="P254" s="78">
        <v>21518.855252366298</v>
      </c>
      <c r="Q254" s="77">
        <v>13558.887500000001</v>
      </c>
      <c r="R254" s="77">
        <v>0</v>
      </c>
    </row>
    <row r="255" spans="1:18">
      <c r="A255" s="77" t="s">
        <v>50</v>
      </c>
      <c r="B255" s="77" t="s">
        <v>59</v>
      </c>
      <c r="C255" s="77" t="s">
        <v>59</v>
      </c>
      <c r="D255" s="77" t="s">
        <v>61</v>
      </c>
      <c r="E255" s="77">
        <v>7870.93</v>
      </c>
      <c r="F255" s="77">
        <v>41115.520061492898</v>
      </c>
      <c r="G255" s="77">
        <v>69375</v>
      </c>
      <c r="H255" s="79">
        <v>-0.41</v>
      </c>
      <c r="I255" s="77">
        <v>173587.51934242199</v>
      </c>
      <c r="J255" s="79">
        <v>-0.76</v>
      </c>
      <c r="K255" s="77">
        <v>1360043.89793301</v>
      </c>
      <c r="L255" s="77">
        <v>2143375</v>
      </c>
      <c r="M255" s="79">
        <v>-0.37</v>
      </c>
      <c r="N255" s="77">
        <v>1320090.0856389999</v>
      </c>
      <c r="O255" s="79">
        <v>0.03</v>
      </c>
      <c r="P255" s="78">
        <v>15362.3410493951</v>
      </c>
      <c r="Q255" s="77">
        <v>8854.1395391666701</v>
      </c>
      <c r="R255" s="77">
        <v>0</v>
      </c>
    </row>
    <row r="256" spans="1:18">
      <c r="A256" s="77" t="s">
        <v>50</v>
      </c>
      <c r="B256" s="77" t="s">
        <v>59</v>
      </c>
      <c r="C256" s="77" t="s">
        <v>59</v>
      </c>
      <c r="D256" s="77" t="s">
        <v>154</v>
      </c>
      <c r="E256" s="77">
        <v>0</v>
      </c>
      <c r="F256" s="77">
        <v>0</v>
      </c>
      <c r="G256" s="77">
        <v>0</v>
      </c>
      <c r="H256" s="79" t="s">
        <v>15</v>
      </c>
      <c r="I256" s="77">
        <v>0</v>
      </c>
      <c r="J256" s="79" t="s">
        <v>15</v>
      </c>
      <c r="K256" s="77">
        <v>0</v>
      </c>
      <c r="L256" s="77">
        <v>0</v>
      </c>
      <c r="M256" s="79" t="s">
        <v>15</v>
      </c>
      <c r="N256" s="77">
        <v>0</v>
      </c>
      <c r="O256" s="79" t="s">
        <v>15</v>
      </c>
      <c r="P256" s="78">
        <v>0</v>
      </c>
      <c r="Q256" s="77">
        <v>0</v>
      </c>
      <c r="R256" s="77">
        <v>0</v>
      </c>
    </row>
    <row r="257" spans="1:18">
      <c r="A257" s="77" t="s">
        <v>50</v>
      </c>
      <c r="B257" s="77" t="s">
        <v>59</v>
      </c>
      <c r="C257" s="77" t="s">
        <v>59</v>
      </c>
      <c r="D257" s="77" t="s">
        <v>60</v>
      </c>
      <c r="E257" s="77">
        <v>109832.86</v>
      </c>
      <c r="F257" s="77">
        <v>590608.15</v>
      </c>
      <c r="G257" s="77">
        <v>1550000</v>
      </c>
      <c r="H257" s="79">
        <v>-0.62</v>
      </c>
      <c r="I257" s="77">
        <v>6327535.0199999996</v>
      </c>
      <c r="J257" s="79">
        <v>-0.91</v>
      </c>
      <c r="K257" s="77">
        <v>75946677.590000004</v>
      </c>
      <c r="L257" s="77">
        <v>78347000</v>
      </c>
      <c r="M257" s="79">
        <v>-0.03</v>
      </c>
      <c r="N257" s="77">
        <v>80227121.060000002</v>
      </c>
      <c r="O257" s="79">
        <v>-0.05</v>
      </c>
      <c r="P257" s="78">
        <v>360494.30789473699</v>
      </c>
      <c r="Q257" s="77">
        <v>219668.13036916699</v>
      </c>
      <c r="R257" s="77">
        <v>0</v>
      </c>
    </row>
    <row r="258" spans="1:18">
      <c r="A258" s="77" t="s">
        <v>50</v>
      </c>
      <c r="B258" s="77" t="s">
        <v>59</v>
      </c>
      <c r="C258" s="77" t="s">
        <v>59</v>
      </c>
      <c r="D258" s="77" t="s">
        <v>94</v>
      </c>
      <c r="E258" s="77">
        <v>0</v>
      </c>
      <c r="F258" s="77">
        <v>320706.01</v>
      </c>
      <c r="G258" s="77">
        <v>750000</v>
      </c>
      <c r="H258" s="79">
        <v>-0.56999999999999995</v>
      </c>
      <c r="I258" s="77">
        <v>2972310.33</v>
      </c>
      <c r="J258" s="79">
        <v>-0.89</v>
      </c>
      <c r="K258" s="77">
        <v>44414739.720000297</v>
      </c>
      <c r="L258" s="77">
        <v>10550000</v>
      </c>
      <c r="M258" s="79">
        <v>3.21</v>
      </c>
      <c r="N258" s="77">
        <v>46516997.560000598</v>
      </c>
      <c r="O258" s="79">
        <v>-0.05</v>
      </c>
      <c r="P258" s="78">
        <v>189473.684210526</v>
      </c>
      <c r="Q258" s="77">
        <v>0</v>
      </c>
      <c r="R258" s="77">
        <v>0</v>
      </c>
    </row>
    <row r="259" spans="1:18">
      <c r="A259" s="77" t="s">
        <v>50</v>
      </c>
      <c r="B259" s="77" t="s">
        <v>59</v>
      </c>
      <c r="C259" s="77" t="s">
        <v>59</v>
      </c>
      <c r="D259" s="77" t="s">
        <v>95</v>
      </c>
      <c r="E259" s="77">
        <v>0</v>
      </c>
      <c r="F259" s="77">
        <v>359187.52</v>
      </c>
      <c r="G259" s="77">
        <v>791666.66666666698</v>
      </c>
      <c r="H259" s="79">
        <v>-0.55000000000000004</v>
      </c>
      <c r="I259" s="77">
        <v>3490783.41</v>
      </c>
      <c r="J259" s="79">
        <v>-0.9</v>
      </c>
      <c r="K259" s="77">
        <v>35180150.93</v>
      </c>
      <c r="L259" s="77">
        <v>13391666.6666667</v>
      </c>
      <c r="M259" s="79">
        <v>1.63</v>
      </c>
      <c r="N259" s="77">
        <v>36518056.7299999</v>
      </c>
      <c r="O259" s="79">
        <v>-0.04</v>
      </c>
      <c r="P259" s="78">
        <v>200000</v>
      </c>
      <c r="Q259" s="77">
        <v>0</v>
      </c>
      <c r="R259" s="77">
        <v>0</v>
      </c>
    </row>
    <row r="260" spans="1:18">
      <c r="A260" s="77" t="s">
        <v>50</v>
      </c>
      <c r="B260" s="77" t="s">
        <v>59</v>
      </c>
      <c r="C260" s="77" t="s">
        <v>59</v>
      </c>
      <c r="D260" s="77" t="s">
        <v>96</v>
      </c>
      <c r="E260" s="77">
        <v>0</v>
      </c>
      <c r="F260" s="77">
        <v>119352.21</v>
      </c>
      <c r="G260" s="77">
        <v>0</v>
      </c>
      <c r="H260" s="79" t="s">
        <v>15</v>
      </c>
      <c r="I260" s="77">
        <v>1063658.04</v>
      </c>
      <c r="J260" s="79">
        <v>-0.89</v>
      </c>
      <c r="K260" s="77">
        <v>6210835.9899999797</v>
      </c>
      <c r="L260" s="77">
        <v>0</v>
      </c>
      <c r="M260" s="79" t="s">
        <v>15</v>
      </c>
      <c r="N260" s="77">
        <v>6069577.4100000001</v>
      </c>
      <c r="O260" s="79">
        <v>0.02</v>
      </c>
      <c r="P260" s="78">
        <v>0</v>
      </c>
      <c r="Q260" s="77">
        <v>0</v>
      </c>
      <c r="R260" s="77">
        <v>0</v>
      </c>
    </row>
    <row r="261" spans="1:18">
      <c r="A261" s="77" t="s">
        <v>50</v>
      </c>
      <c r="B261" s="77" t="s">
        <v>59</v>
      </c>
      <c r="C261" s="77" t="s">
        <v>59</v>
      </c>
      <c r="D261" s="77" t="s">
        <v>97</v>
      </c>
      <c r="E261" s="77">
        <v>0</v>
      </c>
      <c r="F261" s="77">
        <v>1429.21</v>
      </c>
      <c r="G261" s="77">
        <v>0</v>
      </c>
      <c r="H261" s="79" t="s">
        <v>15</v>
      </c>
      <c r="I261" s="77">
        <v>6113.26</v>
      </c>
      <c r="J261" s="79">
        <v>-0.77</v>
      </c>
      <c r="K261" s="77">
        <v>22483.200000000001</v>
      </c>
      <c r="L261" s="77">
        <v>0</v>
      </c>
      <c r="M261" s="79" t="s">
        <v>15</v>
      </c>
      <c r="N261" s="77">
        <v>42323.199999999997</v>
      </c>
      <c r="O261" s="79">
        <v>-0.47</v>
      </c>
      <c r="P261" s="78">
        <v>0</v>
      </c>
      <c r="Q261" s="77">
        <v>0</v>
      </c>
      <c r="R261" s="77">
        <v>0</v>
      </c>
    </row>
    <row r="262" spans="1:18">
      <c r="A262" s="77" t="s">
        <v>50</v>
      </c>
      <c r="B262" s="77" t="s">
        <v>59</v>
      </c>
      <c r="C262" s="77" t="s">
        <v>59</v>
      </c>
      <c r="D262" s="77" t="s">
        <v>98</v>
      </c>
      <c r="E262" s="77">
        <v>0</v>
      </c>
      <c r="F262" s="77">
        <v>0</v>
      </c>
      <c r="G262" s="77">
        <v>0</v>
      </c>
      <c r="H262" s="79" t="s">
        <v>15</v>
      </c>
      <c r="I262" s="77">
        <v>0</v>
      </c>
      <c r="J262" s="79" t="s">
        <v>15</v>
      </c>
      <c r="K262" s="77">
        <v>0</v>
      </c>
      <c r="L262" s="77">
        <v>0</v>
      </c>
      <c r="M262" s="79" t="s">
        <v>15</v>
      </c>
      <c r="N262" s="77">
        <v>0</v>
      </c>
      <c r="O262" s="79" t="s">
        <v>15</v>
      </c>
      <c r="P262" s="78">
        <v>0</v>
      </c>
      <c r="Q262" s="77">
        <v>0</v>
      </c>
      <c r="R262" s="77">
        <v>0</v>
      </c>
    </row>
    <row r="263" spans="1:18">
      <c r="A263" s="77" t="s">
        <v>50</v>
      </c>
      <c r="B263" s="77" t="s">
        <v>59</v>
      </c>
      <c r="C263" s="77" t="s">
        <v>59</v>
      </c>
      <c r="D263" s="77" t="s">
        <v>99</v>
      </c>
      <c r="E263" s="77">
        <v>0</v>
      </c>
      <c r="F263" s="77">
        <v>72272.0600000001</v>
      </c>
      <c r="G263" s="77">
        <v>0</v>
      </c>
      <c r="H263" s="79" t="s">
        <v>15</v>
      </c>
      <c r="I263" s="77">
        <v>692024.87</v>
      </c>
      <c r="J263" s="79">
        <v>-0.9</v>
      </c>
      <c r="K263" s="77">
        <v>6553840.9999999898</v>
      </c>
      <c r="L263" s="77">
        <v>0</v>
      </c>
      <c r="M263" s="79" t="s">
        <v>15</v>
      </c>
      <c r="N263" s="77">
        <v>6381222.4399999902</v>
      </c>
      <c r="O263" s="79">
        <v>0.03</v>
      </c>
      <c r="P263" s="78">
        <v>0</v>
      </c>
      <c r="Q263" s="77">
        <v>0</v>
      </c>
      <c r="R263" s="77">
        <v>0</v>
      </c>
    </row>
  </sheetData>
  <mergeCells count="5">
    <mergeCell ref="K8:O8"/>
    <mergeCell ref="A8:A9"/>
    <mergeCell ref="B8:B9"/>
    <mergeCell ref="D8:D9"/>
    <mergeCell ref="F8:J8"/>
  </mergeCells>
  <conditionalFormatting sqref="H1:H5 O1:O17 J1:J17 M1:M17 H7:H17 H216:H65536 M216:M65536 J216:J65536 O216:O65536">
    <cfRule type="cellIs" dxfId="6" priority="18" stopIfTrue="1" operator="lessThan">
      <formula>0</formula>
    </cfRule>
  </conditionalFormatting>
  <conditionalFormatting sqref="O10:O17 J10:J17 M10:M17 H10:H17">
    <cfRule type="cellIs" dxfId="5" priority="17" stopIfTrue="1" operator="lessThan">
      <formula>0</formula>
    </cfRule>
  </conditionalFormatting>
  <conditionalFormatting sqref="G4">
    <cfRule type="cellIs" dxfId="4" priority="5" stopIfTrue="1" operator="lessThan">
      <formula>0</formula>
    </cfRule>
  </conditionalFormatting>
  <conditionalFormatting sqref="O18:O215 J18:J215 M18:M215 H18:H215">
    <cfRule type="cellIs" dxfId="3" priority="2" stopIfTrue="1" operator="lessThan">
      <formula>0</formula>
    </cfRule>
  </conditionalFormatting>
  <conditionalFormatting sqref="O18:O215 J18:J215 M18:M215 H18:H215">
    <cfRule type="cellIs" dxfId="2" priority="1" stopIfTrue="1" operator="lessThan">
      <formula>0</formula>
    </cfRule>
  </conditionalFormatting>
  <printOptions horizontalCentered="1"/>
  <pageMargins left="0.19685039370078741" right="0.19685039370078741" top="0.19685039370078741" bottom="0.19685039370078741" header="0.51181102362204722" footer="0.51181102362204722"/>
  <pageSetup paperSize="9" scale="7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GI500"/>
  <sheetViews>
    <sheetView zoomScale="75" zoomScaleNormal="75" workbookViewId="0">
      <pane ySplit="8" topLeftCell="A9" activePane="bottomLeft" state="frozenSplit"/>
      <selection activeCell="A10" sqref="A10:O114"/>
      <selection pane="bottomLeft" activeCell="A9" sqref="A9:AC37"/>
    </sheetView>
  </sheetViews>
  <sheetFormatPr baseColWidth="10" defaultColWidth="11.42578125" defaultRowHeight="12"/>
  <cols>
    <col min="1" max="1" width="9.7109375" style="139" customWidth="1"/>
    <col min="2" max="2" width="12.140625" style="139" bestFit="1" customWidth="1"/>
    <col min="3" max="3" width="29.42578125" style="139" bestFit="1" customWidth="1"/>
    <col min="4" max="4" width="29.85546875" style="139" bestFit="1" customWidth="1"/>
    <col min="5" max="6" width="5.5703125" style="139" bestFit="1" customWidth="1"/>
    <col min="7" max="7" width="6.140625" style="139" bestFit="1" customWidth="1"/>
    <col min="8" max="8" width="13.85546875" style="146" customWidth="1"/>
    <col min="9" max="9" width="12.7109375" style="140" bestFit="1" customWidth="1"/>
    <col min="10" max="10" width="9.85546875" style="147" customWidth="1"/>
    <col min="11" max="11" width="13.85546875" style="140" bestFit="1" customWidth="1"/>
    <col min="12" max="12" width="9.85546875" style="140" customWidth="1"/>
    <col min="13" max="13" width="7.7109375" style="146" hidden="1" customWidth="1"/>
    <col min="14" max="14" width="13.42578125" style="139" bestFit="1" customWidth="1"/>
    <col min="15" max="15" width="8.42578125" style="145" hidden="1" customWidth="1"/>
    <col min="16" max="16" width="12.5703125" style="144" hidden="1" customWidth="1"/>
    <col min="17" max="17" width="13.7109375" style="139" bestFit="1" customWidth="1"/>
    <col min="18" max="18" width="13.140625" style="140" customWidth="1"/>
    <col min="19" max="19" width="14.28515625" style="143" customWidth="1"/>
    <col min="20" max="20" width="0" style="143" hidden="1" customWidth="1"/>
    <col min="21" max="21" width="11.42578125" style="143"/>
    <col min="22" max="22" width="11.42578125" style="140"/>
    <col min="23" max="23" width="0" style="140" hidden="1" customWidth="1"/>
    <col min="24" max="24" width="16.42578125" style="142" bestFit="1" customWidth="1"/>
    <col min="25" max="25" width="11.42578125" style="141"/>
    <col min="26" max="26" width="11.42578125" style="140"/>
    <col min="27" max="27" width="10.140625" style="139" customWidth="1"/>
    <col min="28" max="28" width="9.42578125" style="139" customWidth="1"/>
    <col min="29" max="29" width="11.5703125" style="139" customWidth="1"/>
    <col min="30" max="16384" width="11.42578125" style="139"/>
  </cols>
  <sheetData>
    <row r="1" spans="1:191" ht="20.25" customHeight="1">
      <c r="A1" s="187"/>
      <c r="B1" s="184"/>
      <c r="C1" s="184"/>
      <c r="D1" s="184"/>
      <c r="E1" s="222" t="s">
        <v>130</v>
      </c>
      <c r="F1" s="222"/>
      <c r="G1" s="222"/>
      <c r="H1" s="222"/>
      <c r="I1" s="222"/>
      <c r="J1" s="222"/>
      <c r="K1" s="222"/>
      <c r="L1" s="184"/>
      <c r="M1" s="184"/>
      <c r="N1" s="184"/>
      <c r="O1" s="186"/>
      <c r="P1" s="185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191" ht="22.5" customHeight="1">
      <c r="A2" s="187"/>
      <c r="B2" s="184"/>
      <c r="C2" s="184"/>
      <c r="D2" s="184"/>
      <c r="E2" s="222"/>
      <c r="F2" s="222"/>
      <c r="G2" s="222"/>
      <c r="H2" s="222"/>
      <c r="I2" s="222"/>
      <c r="J2" s="222"/>
      <c r="K2" s="222"/>
      <c r="L2" s="184"/>
      <c r="M2" s="184"/>
      <c r="N2" s="184"/>
      <c r="O2" s="186"/>
      <c r="P2" s="185"/>
      <c r="Q2" s="184"/>
      <c r="R2" s="184"/>
      <c r="S2" s="184"/>
      <c r="T2" s="184" t="s">
        <v>129</v>
      </c>
      <c r="U2" s="184"/>
      <c r="V2" s="184"/>
      <c r="W2" s="184"/>
      <c r="X2" s="184"/>
      <c r="Y2" s="184"/>
      <c r="Z2" s="184"/>
    </row>
    <row r="3" spans="1:191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</row>
    <row r="4" spans="1:191" ht="13.5" customHeight="1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8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</row>
    <row r="5" spans="1:191" ht="15">
      <c r="A5" s="173"/>
      <c r="B5" s="173"/>
      <c r="C5" s="173"/>
      <c r="D5" s="173"/>
      <c r="E5" s="173"/>
      <c r="F5" s="173"/>
      <c r="G5" s="173"/>
      <c r="H5" s="182"/>
      <c r="I5" s="182"/>
      <c r="J5" s="173"/>
      <c r="K5" s="173"/>
      <c r="L5" s="181" t="s">
        <v>228</v>
      </c>
      <c r="M5" s="180"/>
      <c r="N5" s="173"/>
      <c r="O5" s="175"/>
      <c r="P5" s="174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 spans="1:191" ht="12.75">
      <c r="A6" s="173"/>
      <c r="B6" s="179" t="s">
        <v>73</v>
      </c>
      <c r="C6" s="178" t="s">
        <v>222</v>
      </c>
      <c r="D6" s="177"/>
      <c r="E6" s="177"/>
      <c r="F6" s="177"/>
      <c r="G6" s="176"/>
      <c r="H6" s="173"/>
      <c r="I6" s="173"/>
      <c r="J6" s="175"/>
      <c r="K6" s="173"/>
      <c r="L6" s="173"/>
      <c r="M6" s="175"/>
      <c r="N6" s="173"/>
      <c r="O6" s="175"/>
      <c r="P6" s="174"/>
      <c r="Q6" s="173"/>
      <c r="R6" s="173"/>
      <c r="S6" s="173"/>
      <c r="T6" s="173"/>
      <c r="U6" s="173"/>
      <c r="V6" s="173"/>
      <c r="W6" s="173"/>
      <c r="X6" s="173"/>
      <c r="Y6" s="173"/>
      <c r="Z6" s="173"/>
      <c r="GI6" s="139" t="s">
        <v>72</v>
      </c>
    </row>
    <row r="7" spans="1:191" ht="12.75" thickBot="1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</row>
    <row r="8" spans="1:191" s="158" customFormat="1" ht="30">
      <c r="A8" s="172" t="s">
        <v>91</v>
      </c>
      <c r="B8" s="171" t="s">
        <v>25</v>
      </c>
      <c r="C8" s="171" t="s">
        <v>90</v>
      </c>
      <c r="D8" s="171" t="s">
        <v>89</v>
      </c>
      <c r="E8" s="171" t="s">
        <v>88</v>
      </c>
      <c r="F8" s="171" t="s">
        <v>87</v>
      </c>
      <c r="G8" s="170" t="s">
        <v>86</v>
      </c>
      <c r="H8" s="169" t="s">
        <v>85</v>
      </c>
      <c r="I8" s="168" t="s">
        <v>128</v>
      </c>
      <c r="J8" s="164" t="s">
        <v>84</v>
      </c>
      <c r="K8" s="165" t="s">
        <v>83</v>
      </c>
      <c r="L8" s="167" t="s">
        <v>127</v>
      </c>
      <c r="M8" s="164" t="s">
        <v>126</v>
      </c>
      <c r="N8" s="161" t="s">
        <v>82</v>
      </c>
      <c r="O8" s="167" t="s">
        <v>125</v>
      </c>
      <c r="P8" s="166" t="s">
        <v>124</v>
      </c>
      <c r="Q8" s="164" t="s">
        <v>80</v>
      </c>
      <c r="R8" s="165" t="s">
        <v>79</v>
      </c>
      <c r="S8" s="164" t="s">
        <v>155</v>
      </c>
      <c r="T8" s="163" t="s">
        <v>123</v>
      </c>
      <c r="U8" s="160" t="s">
        <v>77</v>
      </c>
      <c r="V8" s="160" t="s">
        <v>76</v>
      </c>
      <c r="W8" s="162" t="s">
        <v>122</v>
      </c>
      <c r="X8" s="161" t="s">
        <v>101</v>
      </c>
      <c r="Y8" s="160" t="s">
        <v>102</v>
      </c>
      <c r="Z8" s="159" t="s">
        <v>15</v>
      </c>
      <c r="AA8" s="160" t="s">
        <v>143</v>
      </c>
      <c r="AB8" s="160" t="s">
        <v>81</v>
      </c>
      <c r="AC8" s="159" t="s">
        <v>15</v>
      </c>
    </row>
    <row r="9" spans="1:191" ht="16.5" customHeight="1">
      <c r="A9" s="213" t="s">
        <v>175</v>
      </c>
      <c r="B9" s="213" t="s">
        <v>50</v>
      </c>
      <c r="C9" s="213" t="s">
        <v>51</v>
      </c>
      <c r="D9" s="213" t="s">
        <v>56</v>
      </c>
      <c r="E9" s="213" t="s">
        <v>176</v>
      </c>
      <c r="F9" s="213" t="s">
        <v>177</v>
      </c>
      <c r="G9" s="213" t="s">
        <v>178</v>
      </c>
      <c r="H9" s="213">
        <v>159</v>
      </c>
      <c r="I9" s="154">
        <v>0.57833999999999997</v>
      </c>
      <c r="J9" s="213"/>
      <c r="K9" s="154">
        <v>0</v>
      </c>
      <c r="L9" s="154">
        <v>0</v>
      </c>
      <c r="M9" s="213"/>
      <c r="N9" s="213"/>
      <c r="O9" s="154" t="s">
        <v>15</v>
      </c>
      <c r="P9" s="154">
        <v>0</v>
      </c>
      <c r="Q9" s="213"/>
      <c r="R9" s="154">
        <v>0</v>
      </c>
      <c r="S9" s="156">
        <v>127</v>
      </c>
      <c r="T9" s="156">
        <v>106</v>
      </c>
      <c r="U9" s="156"/>
      <c r="V9" s="154">
        <v>0</v>
      </c>
      <c r="W9" s="154">
        <v>0</v>
      </c>
      <c r="X9" s="155"/>
      <c r="Y9" s="155">
        <v>5.1042474000000002</v>
      </c>
      <c r="Z9" s="154">
        <v>0</v>
      </c>
      <c r="AA9" s="154">
        <v>0.5</v>
      </c>
      <c r="AB9" s="154"/>
      <c r="AC9" s="154"/>
    </row>
    <row r="10" spans="1:191" ht="16.5" customHeight="1">
      <c r="A10" s="213" t="s">
        <v>175</v>
      </c>
      <c r="B10" s="213" t="s">
        <v>50</v>
      </c>
      <c r="C10" s="213" t="s">
        <v>52</v>
      </c>
      <c r="D10" s="213" t="s">
        <v>53</v>
      </c>
      <c r="E10" s="213" t="s">
        <v>176</v>
      </c>
      <c r="F10" s="213" t="s">
        <v>179</v>
      </c>
      <c r="G10" s="213" t="s">
        <v>178</v>
      </c>
      <c r="H10" s="213">
        <v>122</v>
      </c>
      <c r="I10" s="154">
        <v>0.57833999999999997</v>
      </c>
      <c r="J10" s="213"/>
      <c r="K10" s="154">
        <v>0</v>
      </c>
      <c r="L10" s="154">
        <v>0</v>
      </c>
      <c r="M10" s="213"/>
      <c r="N10" s="213"/>
      <c r="O10" s="154" t="s">
        <v>15</v>
      </c>
      <c r="P10" s="154">
        <v>0</v>
      </c>
      <c r="Q10" s="213"/>
      <c r="R10" s="154">
        <v>0</v>
      </c>
      <c r="S10" s="156">
        <v>120</v>
      </c>
      <c r="T10" s="156">
        <v>82</v>
      </c>
      <c r="U10" s="156"/>
      <c r="V10" s="154">
        <v>0</v>
      </c>
      <c r="W10" s="154">
        <v>0</v>
      </c>
      <c r="X10" s="155"/>
      <c r="Y10" s="155">
        <v>5.0131001250000002</v>
      </c>
      <c r="Z10" s="154">
        <v>0</v>
      </c>
      <c r="AA10" s="154">
        <v>0.5</v>
      </c>
      <c r="AB10" s="154"/>
      <c r="AC10" s="154"/>
    </row>
    <row r="11" spans="1:191" ht="16.5" customHeight="1">
      <c r="A11" s="213" t="s">
        <v>175</v>
      </c>
      <c r="B11" s="213" t="s">
        <v>50</v>
      </c>
      <c r="C11" s="213" t="s">
        <v>173</v>
      </c>
      <c r="D11" s="213" t="s">
        <v>115</v>
      </c>
      <c r="E11" s="213" t="s">
        <v>176</v>
      </c>
      <c r="F11" s="213" t="s">
        <v>180</v>
      </c>
      <c r="G11" s="213" t="s">
        <v>178</v>
      </c>
      <c r="H11" s="213">
        <v>90</v>
      </c>
      <c r="I11" s="154">
        <v>0.56699999999999995</v>
      </c>
      <c r="J11" s="213"/>
      <c r="K11" s="154">
        <v>0</v>
      </c>
      <c r="L11" s="154">
        <v>0</v>
      </c>
      <c r="M11" s="213"/>
      <c r="N11" s="213"/>
      <c r="O11" s="154" t="s">
        <v>15</v>
      </c>
      <c r="P11" s="154">
        <v>0</v>
      </c>
      <c r="Q11" s="213"/>
      <c r="R11" s="154">
        <v>0</v>
      </c>
      <c r="S11" s="156">
        <v>125</v>
      </c>
      <c r="T11" s="156">
        <v>156</v>
      </c>
      <c r="U11" s="156"/>
      <c r="V11" s="154">
        <v>0</v>
      </c>
      <c r="W11" s="154">
        <v>0</v>
      </c>
      <c r="X11" s="155"/>
      <c r="Y11" s="155">
        <v>5.2164000000000001</v>
      </c>
      <c r="Z11" s="154">
        <v>0</v>
      </c>
      <c r="AA11" s="154">
        <v>0.5</v>
      </c>
      <c r="AB11" s="154"/>
      <c r="AC11" s="154"/>
    </row>
    <row r="12" spans="1:191" ht="16.5" customHeight="1">
      <c r="A12" s="213" t="s">
        <v>175</v>
      </c>
      <c r="B12" s="213" t="s">
        <v>50</v>
      </c>
      <c r="C12" s="213" t="s">
        <v>171</v>
      </c>
      <c r="D12" s="213" t="s">
        <v>172</v>
      </c>
      <c r="E12" s="213" t="s">
        <v>176</v>
      </c>
      <c r="F12" s="213" t="s">
        <v>180</v>
      </c>
      <c r="G12" s="213" t="s">
        <v>178</v>
      </c>
      <c r="H12" s="213">
        <v>72</v>
      </c>
      <c r="I12" s="154">
        <v>0.63</v>
      </c>
      <c r="J12" s="213"/>
      <c r="K12" s="154">
        <v>0</v>
      </c>
      <c r="L12" s="154">
        <v>0</v>
      </c>
      <c r="M12" s="213"/>
      <c r="N12" s="213"/>
      <c r="O12" s="154" t="s">
        <v>15</v>
      </c>
      <c r="P12" s="154">
        <v>0</v>
      </c>
      <c r="Q12" s="213"/>
      <c r="R12" s="154">
        <v>0</v>
      </c>
      <c r="S12" s="156">
        <v>110</v>
      </c>
      <c r="T12" s="156">
        <v>156</v>
      </c>
      <c r="U12" s="156"/>
      <c r="V12" s="154">
        <v>0</v>
      </c>
      <c r="W12" s="154">
        <v>0</v>
      </c>
      <c r="X12" s="155"/>
      <c r="Y12" s="155">
        <v>6.3</v>
      </c>
      <c r="Z12" s="154">
        <v>0</v>
      </c>
      <c r="AA12" s="157">
        <v>0.54</v>
      </c>
      <c r="AB12" s="157"/>
      <c r="AC12" s="157"/>
    </row>
    <row r="13" spans="1:191" ht="16.5" customHeight="1">
      <c r="A13" s="213" t="s">
        <v>175</v>
      </c>
      <c r="B13" s="213" t="s">
        <v>50</v>
      </c>
      <c r="C13" s="213" t="s">
        <v>170</v>
      </c>
      <c r="D13" s="213" t="s">
        <v>54</v>
      </c>
      <c r="E13" s="213" t="s">
        <v>176</v>
      </c>
      <c r="F13" s="213" t="s">
        <v>180</v>
      </c>
      <c r="G13" s="213" t="s">
        <v>178</v>
      </c>
      <c r="H13" s="213">
        <v>93</v>
      </c>
      <c r="I13" s="154">
        <v>0.57833999999999997</v>
      </c>
      <c r="J13" s="213"/>
      <c r="K13" s="154">
        <v>0</v>
      </c>
      <c r="L13" s="154">
        <v>0</v>
      </c>
      <c r="M13" s="213"/>
      <c r="N13" s="213"/>
      <c r="O13" s="154" t="s">
        <v>15</v>
      </c>
      <c r="P13" s="154">
        <v>0</v>
      </c>
      <c r="Q13" s="213"/>
      <c r="R13" s="154">
        <v>0</v>
      </c>
      <c r="S13" s="156">
        <v>120</v>
      </c>
      <c r="T13" s="156">
        <v>156</v>
      </c>
      <c r="U13" s="156"/>
      <c r="V13" s="154">
        <v>0</v>
      </c>
      <c r="W13" s="154">
        <v>0</v>
      </c>
      <c r="X13" s="155"/>
      <c r="Y13" s="155">
        <v>5.1232499999999996</v>
      </c>
      <c r="Z13" s="154">
        <v>0</v>
      </c>
      <c r="AA13" s="154">
        <v>0.5</v>
      </c>
      <c r="AB13" s="154"/>
      <c r="AC13" s="154"/>
    </row>
    <row r="14" spans="1:191" ht="16.5" customHeight="1">
      <c r="A14" s="210" t="s">
        <v>175</v>
      </c>
      <c r="B14" s="210" t="s">
        <v>50</v>
      </c>
      <c r="C14" s="210" t="s">
        <v>181</v>
      </c>
      <c r="D14" s="210" t="s">
        <v>163</v>
      </c>
      <c r="E14" s="210" t="s">
        <v>87</v>
      </c>
      <c r="F14" s="210" t="s">
        <v>87</v>
      </c>
      <c r="G14" s="210" t="s">
        <v>87</v>
      </c>
      <c r="H14" s="210">
        <v>536</v>
      </c>
      <c r="I14" s="157">
        <v>0.58640400000000004</v>
      </c>
      <c r="J14" s="210">
        <v>0</v>
      </c>
      <c r="K14" s="157">
        <v>0</v>
      </c>
      <c r="L14" s="157">
        <v>0</v>
      </c>
      <c r="M14" s="210">
        <v>0</v>
      </c>
      <c r="N14" s="210">
        <v>0</v>
      </c>
      <c r="O14" s="157" t="s">
        <v>15</v>
      </c>
      <c r="P14" s="157">
        <v>0</v>
      </c>
      <c r="Q14" s="210">
        <v>0</v>
      </c>
      <c r="R14" s="157">
        <v>0</v>
      </c>
      <c r="S14" s="211">
        <v>120.4</v>
      </c>
      <c r="T14" s="211">
        <v>131.19999999999999</v>
      </c>
      <c r="U14" s="211">
        <v>0</v>
      </c>
      <c r="V14" s="157">
        <v>0</v>
      </c>
      <c r="W14" s="157">
        <v>0</v>
      </c>
      <c r="X14" s="212">
        <v>0</v>
      </c>
      <c r="Y14" s="212">
        <v>5.3513995049999998</v>
      </c>
      <c r="Z14" s="157">
        <v>0</v>
      </c>
      <c r="AA14" s="157">
        <v>0.50800000000000001</v>
      </c>
      <c r="AB14" s="157">
        <v>0</v>
      </c>
      <c r="AC14" s="157">
        <v>0</v>
      </c>
    </row>
    <row r="15" spans="1:191" ht="16.5" customHeight="1">
      <c r="A15" s="213" t="s">
        <v>175</v>
      </c>
      <c r="B15" s="213" t="s">
        <v>50</v>
      </c>
      <c r="C15" s="213" t="s">
        <v>140</v>
      </c>
      <c r="D15" s="213" t="s">
        <v>104</v>
      </c>
      <c r="E15" s="213" t="s">
        <v>176</v>
      </c>
      <c r="F15" s="213" t="s">
        <v>179</v>
      </c>
      <c r="G15" s="213" t="s">
        <v>182</v>
      </c>
      <c r="H15" s="213">
        <v>561</v>
      </c>
      <c r="I15" s="154">
        <v>0.55355399999999999</v>
      </c>
      <c r="J15" s="213">
        <v>81</v>
      </c>
      <c r="K15" s="154">
        <v>0.14438502673796799</v>
      </c>
      <c r="L15" s="154">
        <v>0.26083277645535602</v>
      </c>
      <c r="M15" s="213"/>
      <c r="N15" s="213">
        <v>81</v>
      </c>
      <c r="O15" s="154" t="s">
        <v>15</v>
      </c>
      <c r="P15" s="154">
        <v>0.26083277645535602</v>
      </c>
      <c r="Q15" s="213">
        <v>245</v>
      </c>
      <c r="R15" s="154">
        <v>0.43672014260249598</v>
      </c>
      <c r="S15" s="156">
        <v>124</v>
      </c>
      <c r="T15" s="156">
        <v>85</v>
      </c>
      <c r="U15" s="156">
        <v>74</v>
      </c>
      <c r="V15" s="154">
        <v>0.59677419354838701</v>
      </c>
      <c r="W15" s="154">
        <v>0.870588235294118</v>
      </c>
      <c r="X15" s="155">
        <v>7.7777777777777803</v>
      </c>
      <c r="Y15" s="155">
        <v>5.4688365000000001</v>
      </c>
      <c r="Z15" s="154">
        <v>1.4221997270859701</v>
      </c>
      <c r="AA15" s="154">
        <v>0.4522713813</v>
      </c>
      <c r="AB15" s="154">
        <v>7.2192513368983996E-2</v>
      </c>
      <c r="AC15" s="154">
        <v>0.159622112638379</v>
      </c>
    </row>
    <row r="16" spans="1:191" ht="16.5" customHeight="1">
      <c r="A16" s="213" t="s">
        <v>175</v>
      </c>
      <c r="B16" s="213" t="s">
        <v>50</v>
      </c>
      <c r="C16" s="213" t="s">
        <v>139</v>
      </c>
      <c r="D16" s="213" t="s">
        <v>169</v>
      </c>
      <c r="E16" s="213" t="s">
        <v>176</v>
      </c>
      <c r="F16" s="213" t="s">
        <v>177</v>
      </c>
      <c r="G16" s="213" t="s">
        <v>182</v>
      </c>
      <c r="H16" s="213">
        <v>561</v>
      </c>
      <c r="I16" s="154">
        <v>0.55355399999999999</v>
      </c>
      <c r="J16" s="213">
        <v>69</v>
      </c>
      <c r="K16" s="154">
        <v>0.12299465240641699</v>
      </c>
      <c r="L16" s="154">
        <v>0.222190883647155</v>
      </c>
      <c r="M16" s="213"/>
      <c r="N16" s="213">
        <v>66</v>
      </c>
      <c r="O16" s="154" t="s">
        <v>15</v>
      </c>
      <c r="P16" s="154">
        <v>0.222190883647155</v>
      </c>
      <c r="Q16" s="213">
        <v>245</v>
      </c>
      <c r="R16" s="154">
        <v>0.43672014260249598</v>
      </c>
      <c r="S16" s="156">
        <v>120</v>
      </c>
      <c r="T16" s="156">
        <v>82</v>
      </c>
      <c r="U16" s="156">
        <v>71</v>
      </c>
      <c r="V16" s="154">
        <v>0.59166666666666701</v>
      </c>
      <c r="W16" s="154">
        <v>0.86585365853658502</v>
      </c>
      <c r="X16" s="155">
        <v>5.0434782608695699</v>
      </c>
      <c r="Y16" s="155">
        <v>5.4688365000000001</v>
      </c>
      <c r="Z16" s="154">
        <v>0.92222143793649203</v>
      </c>
      <c r="AA16" s="154">
        <v>0.4522713813</v>
      </c>
      <c r="AB16" s="154">
        <v>5.8823529411764698E-2</v>
      </c>
      <c r="AC16" s="154">
        <v>0.13006246214979</v>
      </c>
    </row>
    <row r="17" spans="1:29" ht="16.5" customHeight="1">
      <c r="A17" s="213" t="s">
        <v>175</v>
      </c>
      <c r="B17" s="213" t="s">
        <v>50</v>
      </c>
      <c r="C17" s="213" t="s">
        <v>134</v>
      </c>
      <c r="D17" s="213" t="s">
        <v>167</v>
      </c>
      <c r="E17" s="213" t="s">
        <v>183</v>
      </c>
      <c r="F17" s="213" t="s">
        <v>180</v>
      </c>
      <c r="G17" s="213" t="s">
        <v>182</v>
      </c>
      <c r="H17" s="213">
        <v>561</v>
      </c>
      <c r="I17" s="154">
        <v>0.53703000000000001</v>
      </c>
      <c r="J17" s="213">
        <v>64</v>
      </c>
      <c r="K17" s="154">
        <v>0.11408199643493799</v>
      </c>
      <c r="L17" s="154">
        <v>0.21243132866867401</v>
      </c>
      <c r="M17" s="213"/>
      <c r="N17" s="213">
        <v>64</v>
      </c>
      <c r="O17" s="154" t="s">
        <v>15</v>
      </c>
      <c r="P17" s="154">
        <v>0.21243132866867401</v>
      </c>
      <c r="Q17" s="213">
        <v>118</v>
      </c>
      <c r="R17" s="154">
        <v>0.21033868092691599</v>
      </c>
      <c r="S17" s="156">
        <v>165</v>
      </c>
      <c r="T17" s="156">
        <v>134</v>
      </c>
      <c r="U17" s="156">
        <v>124</v>
      </c>
      <c r="V17" s="154">
        <v>0.75151515151515103</v>
      </c>
      <c r="W17" s="154">
        <v>0.92537313432835799</v>
      </c>
      <c r="X17" s="155">
        <v>8.390625</v>
      </c>
      <c r="Y17" s="155">
        <v>5.7566699999999997</v>
      </c>
      <c r="Z17" s="154">
        <v>1.4575483743205699</v>
      </c>
      <c r="AA17" s="154">
        <v>0.44614799999999999</v>
      </c>
      <c r="AB17" s="154">
        <v>5.7040998217468802E-2</v>
      </c>
      <c r="AC17" s="154">
        <v>0.12785218855059</v>
      </c>
    </row>
    <row r="18" spans="1:29" ht="16.5" customHeight="1">
      <c r="A18" s="213" t="s">
        <v>175</v>
      </c>
      <c r="B18" s="213" t="s">
        <v>50</v>
      </c>
      <c r="C18" s="213" t="s">
        <v>156</v>
      </c>
      <c r="D18" s="213" t="s">
        <v>121</v>
      </c>
      <c r="E18" s="213" t="s">
        <v>176</v>
      </c>
      <c r="F18" s="213" t="s">
        <v>184</v>
      </c>
      <c r="G18" s="213" t="s">
        <v>182</v>
      </c>
      <c r="H18" s="213">
        <v>581</v>
      </c>
      <c r="I18" s="154">
        <v>0.52050600000000002</v>
      </c>
      <c r="J18" s="213"/>
      <c r="K18" s="154">
        <v>0</v>
      </c>
      <c r="L18" s="154">
        <v>0</v>
      </c>
      <c r="M18" s="213"/>
      <c r="N18" s="213"/>
      <c r="O18" s="154" t="s">
        <v>15</v>
      </c>
      <c r="P18" s="154">
        <v>0</v>
      </c>
      <c r="Q18" s="213"/>
      <c r="R18" s="154">
        <v>0</v>
      </c>
      <c r="S18" s="156">
        <v>112</v>
      </c>
      <c r="T18" s="156">
        <v>82</v>
      </c>
      <c r="U18" s="156"/>
      <c r="V18" s="154">
        <v>0</v>
      </c>
      <c r="W18" s="154">
        <v>0</v>
      </c>
      <c r="X18" s="155"/>
      <c r="Y18" s="155">
        <v>5.0850584999999997</v>
      </c>
      <c r="Z18" s="154">
        <v>0</v>
      </c>
      <c r="AA18" s="154">
        <v>0.44614799999999999</v>
      </c>
      <c r="AB18" s="154"/>
      <c r="AC18" s="154"/>
    </row>
    <row r="19" spans="1:29" ht="16.5" customHeight="1">
      <c r="A19" s="213" t="s">
        <v>175</v>
      </c>
      <c r="B19" s="213" t="s">
        <v>50</v>
      </c>
      <c r="C19" s="213" t="s">
        <v>157</v>
      </c>
      <c r="D19" s="213" t="s">
        <v>174</v>
      </c>
      <c r="E19" s="213" t="s">
        <v>176</v>
      </c>
      <c r="F19" s="213" t="s">
        <v>184</v>
      </c>
      <c r="G19" s="213" t="s">
        <v>182</v>
      </c>
      <c r="H19" s="213">
        <v>583</v>
      </c>
      <c r="I19" s="154">
        <v>0.52050600000000002</v>
      </c>
      <c r="J19" s="213">
        <v>63</v>
      </c>
      <c r="K19" s="154">
        <v>0.108061749571184</v>
      </c>
      <c r="L19" s="154">
        <v>0.207609037304438</v>
      </c>
      <c r="M19" s="213"/>
      <c r="N19" s="213">
        <v>62</v>
      </c>
      <c r="O19" s="154" t="s">
        <v>15</v>
      </c>
      <c r="P19" s="154">
        <v>0.207609037304438</v>
      </c>
      <c r="Q19" s="213">
        <v>242</v>
      </c>
      <c r="R19" s="154">
        <v>0.41509433962264197</v>
      </c>
      <c r="S19" s="156">
        <v>112</v>
      </c>
      <c r="T19" s="156">
        <v>82</v>
      </c>
      <c r="U19" s="156">
        <v>100</v>
      </c>
      <c r="V19" s="154">
        <v>0.89285714285714302</v>
      </c>
      <c r="W19" s="154">
        <v>1.2195121951219501</v>
      </c>
      <c r="X19" s="155">
        <v>5.6338028169014098</v>
      </c>
      <c r="Y19" s="155">
        <v>4.9219528500000003</v>
      </c>
      <c r="Z19" s="154">
        <v>1.1446275469504801</v>
      </c>
      <c r="AA19" s="154">
        <v>0.44614799999999999</v>
      </c>
      <c r="AB19" s="154">
        <v>5.3173241852487098E-2</v>
      </c>
      <c r="AC19" s="154">
        <v>0.119182965859955</v>
      </c>
    </row>
    <row r="20" spans="1:29" ht="16.5" customHeight="1">
      <c r="A20" s="213" t="s">
        <v>175</v>
      </c>
      <c r="B20" s="213" t="s">
        <v>50</v>
      </c>
      <c r="C20" s="213" t="s">
        <v>141</v>
      </c>
      <c r="D20" s="213" t="s">
        <v>145</v>
      </c>
      <c r="E20" s="213" t="s">
        <v>176</v>
      </c>
      <c r="F20" s="213" t="s">
        <v>179</v>
      </c>
      <c r="G20" s="213" t="s">
        <v>182</v>
      </c>
      <c r="H20" s="213">
        <v>608</v>
      </c>
      <c r="I20" s="154">
        <v>0.55355399999999999</v>
      </c>
      <c r="J20" s="213">
        <v>58</v>
      </c>
      <c r="K20" s="154">
        <v>9.5394736842105296E-2</v>
      </c>
      <c r="L20" s="154">
        <v>0.17233140189052101</v>
      </c>
      <c r="M20" s="213"/>
      <c r="N20" s="213">
        <v>58</v>
      </c>
      <c r="O20" s="154" t="s">
        <v>15</v>
      </c>
      <c r="P20" s="154">
        <v>0.17233140189052101</v>
      </c>
      <c r="Q20" s="213">
        <v>241</v>
      </c>
      <c r="R20" s="154">
        <v>0.39638157894736797</v>
      </c>
      <c r="S20" s="156">
        <v>123</v>
      </c>
      <c r="T20" s="156">
        <v>88</v>
      </c>
      <c r="U20" s="156">
        <v>52</v>
      </c>
      <c r="V20" s="154">
        <v>0.422764227642276</v>
      </c>
      <c r="W20" s="154">
        <v>0.59090909090909105</v>
      </c>
      <c r="X20" s="155">
        <v>6.5862068965517198</v>
      </c>
      <c r="Y20" s="155">
        <v>4.8308055750000003</v>
      </c>
      <c r="Z20" s="154">
        <v>1.36337652060272</v>
      </c>
      <c r="AA20" s="154">
        <v>0.44614799999999999</v>
      </c>
      <c r="AB20" s="154">
        <v>4.7697368421052599E-2</v>
      </c>
      <c r="AC20" s="154">
        <v>0.106909295617267</v>
      </c>
    </row>
    <row r="21" spans="1:29" ht="16.5" customHeight="1">
      <c r="A21" s="213" t="s">
        <v>175</v>
      </c>
      <c r="B21" s="213" t="s">
        <v>50</v>
      </c>
      <c r="C21" s="213" t="s">
        <v>138</v>
      </c>
      <c r="D21" s="213" t="s">
        <v>103</v>
      </c>
      <c r="E21" s="213" t="s">
        <v>176</v>
      </c>
      <c r="F21" s="213" t="s">
        <v>177</v>
      </c>
      <c r="G21" s="213" t="s">
        <v>182</v>
      </c>
      <c r="H21" s="213">
        <v>608</v>
      </c>
      <c r="I21" s="154">
        <v>0.55355399999999999</v>
      </c>
      <c r="J21" s="213">
        <v>70</v>
      </c>
      <c r="K21" s="154">
        <v>0.115131578947368</v>
      </c>
      <c r="L21" s="154">
        <v>0.207986174695455</v>
      </c>
      <c r="M21" s="213"/>
      <c r="N21" s="213">
        <v>69</v>
      </c>
      <c r="O21" s="154" t="s">
        <v>15</v>
      </c>
      <c r="P21" s="154">
        <v>0.207986174695455</v>
      </c>
      <c r="Q21" s="213">
        <v>241</v>
      </c>
      <c r="R21" s="154">
        <v>0.39638157894736797</v>
      </c>
      <c r="S21" s="156">
        <v>112</v>
      </c>
      <c r="T21" s="156">
        <v>95</v>
      </c>
      <c r="U21" s="156">
        <v>62</v>
      </c>
      <c r="V21" s="154">
        <v>0.55357142857142905</v>
      </c>
      <c r="W21" s="154">
        <v>0.65263157894736801</v>
      </c>
      <c r="X21" s="155">
        <v>4.8428571428571399</v>
      </c>
      <c r="Y21" s="155">
        <v>5.0850584999999997</v>
      </c>
      <c r="Z21" s="154">
        <v>0.95236999591197202</v>
      </c>
      <c r="AA21" s="157">
        <v>0.44614799999999999</v>
      </c>
      <c r="AB21" s="157">
        <v>5.6743421052631603E-2</v>
      </c>
      <c r="AC21" s="157">
        <v>0.127185196510197</v>
      </c>
    </row>
    <row r="22" spans="1:29" ht="16.5" customHeight="1">
      <c r="A22" s="213" t="s">
        <v>175</v>
      </c>
      <c r="B22" s="213" t="s">
        <v>50</v>
      </c>
      <c r="C22" s="213" t="s">
        <v>135</v>
      </c>
      <c r="D22" s="213" t="s">
        <v>166</v>
      </c>
      <c r="E22" s="213" t="s">
        <v>183</v>
      </c>
      <c r="F22" s="213" t="s">
        <v>180</v>
      </c>
      <c r="G22" s="213" t="s">
        <v>182</v>
      </c>
      <c r="H22" s="213">
        <v>377</v>
      </c>
      <c r="I22" s="154">
        <v>0.51224400000000003</v>
      </c>
      <c r="J22" s="213">
        <v>44</v>
      </c>
      <c r="K22" s="154">
        <v>0.116710875331565</v>
      </c>
      <c r="L22" s="154">
        <v>0.22784234726334501</v>
      </c>
      <c r="M22" s="213"/>
      <c r="N22" s="213">
        <v>44</v>
      </c>
      <c r="O22" s="154" t="s">
        <v>15</v>
      </c>
      <c r="P22" s="154">
        <v>0.22784234726334501</v>
      </c>
      <c r="Q22" s="213">
        <v>87</v>
      </c>
      <c r="R22" s="154">
        <v>0.230769230769231</v>
      </c>
      <c r="S22" s="156">
        <v>135</v>
      </c>
      <c r="T22" s="156">
        <v>134</v>
      </c>
      <c r="U22" s="156">
        <v>73</v>
      </c>
      <c r="V22" s="154">
        <v>0.54074074074074097</v>
      </c>
      <c r="W22" s="154">
        <v>0.54477611940298498</v>
      </c>
      <c r="X22" s="155">
        <v>6.2045454545454497</v>
      </c>
      <c r="Y22" s="155">
        <v>5.7566699999999997</v>
      </c>
      <c r="Z22" s="154">
        <v>1.07780113408367</v>
      </c>
      <c r="AA22" s="157">
        <v>0.44614799999999999</v>
      </c>
      <c r="AB22" s="157">
        <v>5.8355437665782502E-2</v>
      </c>
      <c r="AC22" s="157">
        <v>0.13079838454006901</v>
      </c>
    </row>
    <row r="23" spans="1:29" ht="16.5" customHeight="1">
      <c r="A23" s="213" t="s">
        <v>175</v>
      </c>
      <c r="B23" s="213" t="s">
        <v>50</v>
      </c>
      <c r="C23" s="213" t="s">
        <v>168</v>
      </c>
      <c r="D23" s="213" t="s">
        <v>149</v>
      </c>
      <c r="E23" s="213" t="s">
        <v>183</v>
      </c>
      <c r="F23" s="213" t="s">
        <v>180</v>
      </c>
      <c r="G23" s="213" t="s">
        <v>182</v>
      </c>
      <c r="H23" s="213">
        <v>358</v>
      </c>
      <c r="I23" s="154">
        <v>0.495</v>
      </c>
      <c r="J23" s="213">
        <v>63</v>
      </c>
      <c r="K23" s="154">
        <v>0.17597765363128501</v>
      </c>
      <c r="L23" s="154">
        <v>0.35551041137633299</v>
      </c>
      <c r="M23" s="213"/>
      <c r="N23" s="213">
        <v>63</v>
      </c>
      <c r="O23" s="154" t="s">
        <v>15</v>
      </c>
      <c r="P23" s="154">
        <v>0.35551041137633299</v>
      </c>
      <c r="Q23" s="213">
        <v>111</v>
      </c>
      <c r="R23" s="154">
        <v>0.31005586592178802</v>
      </c>
      <c r="S23" s="156">
        <v>114</v>
      </c>
      <c r="T23" s="156">
        <v>134</v>
      </c>
      <c r="U23" s="156">
        <v>93</v>
      </c>
      <c r="V23" s="154">
        <v>0.81578947368421095</v>
      </c>
      <c r="W23" s="154">
        <v>0.69402985074626899</v>
      </c>
      <c r="X23" s="155">
        <v>7.2461538461538497</v>
      </c>
      <c r="Y23" s="155">
        <v>5.4</v>
      </c>
      <c r="Z23" s="154">
        <v>1.34188034188034</v>
      </c>
      <c r="AA23" s="157">
        <v>0.44614799999999999</v>
      </c>
      <c r="AB23" s="157">
        <v>8.7988826815642504E-2</v>
      </c>
      <c r="AC23" s="157">
        <v>0.19721892021401499</v>
      </c>
    </row>
    <row r="24" spans="1:29" ht="16.5" customHeight="1">
      <c r="A24" s="213" t="s">
        <v>175</v>
      </c>
      <c r="B24" s="213" t="s">
        <v>50</v>
      </c>
      <c r="C24" s="213" t="s">
        <v>150</v>
      </c>
      <c r="D24" s="213" t="s">
        <v>162</v>
      </c>
      <c r="E24" s="213" t="s">
        <v>183</v>
      </c>
      <c r="F24" s="213" t="s">
        <v>180</v>
      </c>
      <c r="G24" s="213" t="s">
        <v>182</v>
      </c>
      <c r="H24" s="213">
        <v>445</v>
      </c>
      <c r="I24" s="154">
        <v>0.47919600000000001</v>
      </c>
      <c r="J24" s="213">
        <v>62</v>
      </c>
      <c r="K24" s="154">
        <v>0.13932584269662901</v>
      </c>
      <c r="L24" s="154">
        <v>0.29074917715638099</v>
      </c>
      <c r="M24" s="213"/>
      <c r="N24" s="213">
        <v>62</v>
      </c>
      <c r="O24" s="154" t="s">
        <v>15</v>
      </c>
      <c r="P24" s="154">
        <v>0.29074917715638099</v>
      </c>
      <c r="Q24" s="213">
        <v>141</v>
      </c>
      <c r="R24" s="154">
        <v>0.31685393258427003</v>
      </c>
      <c r="S24" s="156">
        <v>114</v>
      </c>
      <c r="T24" s="156">
        <v>134</v>
      </c>
      <c r="U24" s="156">
        <v>79</v>
      </c>
      <c r="V24" s="154">
        <v>0.69298245614035103</v>
      </c>
      <c r="W24" s="154">
        <v>0.58955223880596996</v>
      </c>
      <c r="X24" s="155">
        <v>6.3333333333333304</v>
      </c>
      <c r="Y24" s="155">
        <v>5.7566699999999997</v>
      </c>
      <c r="Z24" s="154">
        <v>1.1001730745957901</v>
      </c>
      <c r="AA24" s="154">
        <v>0.44614799999999999</v>
      </c>
      <c r="AB24" s="154">
        <v>6.9662921348314602E-2</v>
      </c>
      <c r="AC24" s="154">
        <v>0.15614307662101901</v>
      </c>
    </row>
    <row r="25" spans="1:29" ht="16.5" customHeight="1">
      <c r="A25" s="210" t="s">
        <v>175</v>
      </c>
      <c r="B25" s="210" t="s">
        <v>50</v>
      </c>
      <c r="C25" s="210" t="s">
        <v>185</v>
      </c>
      <c r="D25" s="210" t="s">
        <v>163</v>
      </c>
      <c r="E25" s="210" t="s">
        <v>87</v>
      </c>
      <c r="F25" s="210" t="s">
        <v>87</v>
      </c>
      <c r="G25" s="210" t="s">
        <v>87</v>
      </c>
      <c r="H25" s="210">
        <v>5243</v>
      </c>
      <c r="I25" s="157">
        <v>0.52786979999999994</v>
      </c>
      <c r="J25" s="210">
        <v>574</v>
      </c>
      <c r="K25" s="157">
        <v>0.10947930574098801</v>
      </c>
      <c r="L25" s="157">
        <v>0.207398312502416</v>
      </c>
      <c r="M25" s="210">
        <v>0</v>
      </c>
      <c r="N25" s="210">
        <v>569</v>
      </c>
      <c r="O25" s="157" t="s">
        <v>15</v>
      </c>
      <c r="P25" s="157">
        <v>0.207398312502416</v>
      </c>
      <c r="Q25" s="210">
        <v>1671</v>
      </c>
      <c r="R25" s="157">
        <v>0.31871066183482699</v>
      </c>
      <c r="S25" s="211">
        <v>123.1</v>
      </c>
      <c r="T25" s="211">
        <v>105</v>
      </c>
      <c r="U25" s="211">
        <v>72.8</v>
      </c>
      <c r="V25" s="157">
        <v>0.59138911454102405</v>
      </c>
      <c r="W25" s="157">
        <v>0.69333333333333302</v>
      </c>
      <c r="X25" s="212">
        <v>5.8058780528990201</v>
      </c>
      <c r="Y25" s="212">
        <v>5.3530558424999999</v>
      </c>
      <c r="Z25" s="157">
        <v>1.08459134814247</v>
      </c>
      <c r="AA25" s="157">
        <v>0.44737267625999999</v>
      </c>
      <c r="AB25" s="157">
        <v>5.6167825815412797E-2</v>
      </c>
      <c r="AC25" s="157">
        <v>0.12555041645585399</v>
      </c>
    </row>
    <row r="26" spans="1:29" ht="16.5" customHeight="1">
      <c r="A26" s="213" t="s">
        <v>175</v>
      </c>
      <c r="B26" s="213" t="s">
        <v>50</v>
      </c>
      <c r="C26" s="213" t="s">
        <v>148</v>
      </c>
      <c r="D26" s="213" t="s">
        <v>190</v>
      </c>
      <c r="E26" s="213" t="s">
        <v>176</v>
      </c>
      <c r="F26" s="213" t="s">
        <v>180</v>
      </c>
      <c r="G26" s="213" t="s">
        <v>182</v>
      </c>
      <c r="H26" s="213">
        <v>639</v>
      </c>
      <c r="I26" s="154">
        <v>0.55355399999999999</v>
      </c>
      <c r="J26" s="213"/>
      <c r="K26" s="154">
        <v>0</v>
      </c>
      <c r="L26" s="154">
        <v>0</v>
      </c>
      <c r="M26" s="213"/>
      <c r="N26" s="213"/>
      <c r="O26" s="154" t="s">
        <v>15</v>
      </c>
      <c r="P26" s="154">
        <v>0</v>
      </c>
      <c r="Q26" s="213"/>
      <c r="R26" s="154">
        <v>0</v>
      </c>
      <c r="S26" s="156">
        <v>107</v>
      </c>
      <c r="T26" s="156">
        <v>133</v>
      </c>
      <c r="U26" s="156"/>
      <c r="V26" s="154">
        <v>0</v>
      </c>
      <c r="W26" s="154">
        <v>0</v>
      </c>
      <c r="X26" s="155"/>
      <c r="Y26" s="155">
        <v>5.2769475000000003</v>
      </c>
      <c r="Z26" s="154">
        <v>0</v>
      </c>
      <c r="AA26" s="154">
        <v>0.44614799999999999</v>
      </c>
      <c r="AB26" s="154"/>
      <c r="AC26" s="154"/>
    </row>
    <row r="27" spans="1:29" ht="16.5" customHeight="1">
      <c r="A27" s="213" t="s">
        <v>175</v>
      </c>
      <c r="B27" s="213" t="s">
        <v>50</v>
      </c>
      <c r="C27" s="213" t="s">
        <v>147</v>
      </c>
      <c r="D27" s="213" t="s">
        <v>152</v>
      </c>
      <c r="E27" s="213" t="s">
        <v>176</v>
      </c>
      <c r="F27" s="213" t="s">
        <v>180</v>
      </c>
      <c r="G27" s="213" t="s">
        <v>182</v>
      </c>
      <c r="H27" s="213">
        <v>639</v>
      </c>
      <c r="I27" s="154">
        <v>0.55355399999999999</v>
      </c>
      <c r="J27" s="213">
        <v>47</v>
      </c>
      <c r="K27" s="154">
        <v>7.3552425665101701E-2</v>
      </c>
      <c r="L27" s="154">
        <v>0.13287308133461501</v>
      </c>
      <c r="M27" s="213"/>
      <c r="N27" s="213">
        <v>46</v>
      </c>
      <c r="O27" s="154" t="s">
        <v>15</v>
      </c>
      <c r="P27" s="154">
        <v>0.13287308133461501</v>
      </c>
      <c r="Q27" s="213">
        <v>278</v>
      </c>
      <c r="R27" s="154">
        <v>0.43505477308294199</v>
      </c>
      <c r="S27" s="156">
        <v>104</v>
      </c>
      <c r="T27" s="156">
        <v>133</v>
      </c>
      <c r="U27" s="156">
        <v>105</v>
      </c>
      <c r="V27" s="154">
        <v>1.0096153846153799</v>
      </c>
      <c r="W27" s="154">
        <v>0.78947368421052599</v>
      </c>
      <c r="X27" s="155">
        <v>6.4468085106383004</v>
      </c>
      <c r="Y27" s="155">
        <v>4.7972250000000001</v>
      </c>
      <c r="Z27" s="154">
        <v>1.34386202661712</v>
      </c>
      <c r="AA27" s="154">
        <v>0.44614799999999999</v>
      </c>
      <c r="AB27" s="154">
        <v>3.5993740219092303E-2</v>
      </c>
      <c r="AC27" s="154">
        <v>8.0676681771726697E-2</v>
      </c>
    </row>
    <row r="28" spans="1:29" ht="16.5" customHeight="1">
      <c r="A28" s="213" t="s">
        <v>175</v>
      </c>
      <c r="B28" s="213" t="s">
        <v>50</v>
      </c>
      <c r="C28" s="213" t="s">
        <v>136</v>
      </c>
      <c r="D28" s="213" t="s">
        <v>131</v>
      </c>
      <c r="E28" s="213" t="s">
        <v>183</v>
      </c>
      <c r="F28" s="213" t="s">
        <v>180</v>
      </c>
      <c r="G28" s="213" t="s">
        <v>182</v>
      </c>
      <c r="H28" s="213">
        <v>750</v>
      </c>
      <c r="I28" s="154">
        <v>0.53703000000000001</v>
      </c>
      <c r="J28" s="213">
        <v>52</v>
      </c>
      <c r="K28" s="154">
        <v>6.9333333333333302E-2</v>
      </c>
      <c r="L28" s="154">
        <v>0.12910513999838599</v>
      </c>
      <c r="M28" s="213"/>
      <c r="N28" s="213">
        <v>52</v>
      </c>
      <c r="O28" s="154" t="s">
        <v>15</v>
      </c>
      <c r="P28" s="154">
        <v>0.12910513999838599</v>
      </c>
      <c r="Q28" s="213">
        <v>105</v>
      </c>
      <c r="R28" s="154">
        <v>0.14000000000000001</v>
      </c>
      <c r="S28" s="156">
        <v>149</v>
      </c>
      <c r="T28" s="156">
        <v>134</v>
      </c>
      <c r="U28" s="156">
        <v>80</v>
      </c>
      <c r="V28" s="154">
        <v>0.53691275167785202</v>
      </c>
      <c r="W28" s="154">
        <v>0.59701492537313405</v>
      </c>
      <c r="X28" s="155">
        <v>6.4482758620689697</v>
      </c>
      <c r="Y28" s="155">
        <v>5.876600625</v>
      </c>
      <c r="Z28" s="154">
        <v>1.09727991972723</v>
      </c>
      <c r="AA28" s="154">
        <v>0.44614799999999999</v>
      </c>
      <c r="AB28" s="154">
        <v>3.46666666666667E-2</v>
      </c>
      <c r="AC28" s="154">
        <v>7.7702167591621296E-2</v>
      </c>
    </row>
    <row r="29" spans="1:29" ht="16.5" customHeight="1">
      <c r="A29" s="213" t="s">
        <v>175</v>
      </c>
      <c r="B29" s="213" t="s">
        <v>50</v>
      </c>
      <c r="C29" s="213" t="s">
        <v>133</v>
      </c>
      <c r="D29" s="213" t="s">
        <v>165</v>
      </c>
      <c r="E29" s="213" t="s">
        <v>183</v>
      </c>
      <c r="F29" s="213" t="s">
        <v>180</v>
      </c>
      <c r="G29" s="213" t="s">
        <v>182</v>
      </c>
      <c r="H29" s="213">
        <v>516</v>
      </c>
      <c r="I29" s="154">
        <v>0.52876800000000002</v>
      </c>
      <c r="J29" s="213"/>
      <c r="K29" s="154">
        <v>0</v>
      </c>
      <c r="L29" s="154">
        <v>0</v>
      </c>
      <c r="M29" s="213"/>
      <c r="N29" s="213"/>
      <c r="O29" s="154" t="s">
        <v>15</v>
      </c>
      <c r="P29" s="154">
        <v>0</v>
      </c>
      <c r="Q29" s="213"/>
      <c r="R29" s="154">
        <v>0</v>
      </c>
      <c r="S29" s="156">
        <v>141</v>
      </c>
      <c r="T29" s="156">
        <v>124</v>
      </c>
      <c r="U29" s="156"/>
      <c r="V29" s="154">
        <v>0</v>
      </c>
      <c r="W29" s="154">
        <v>0</v>
      </c>
      <c r="X29" s="155"/>
      <c r="Y29" s="155">
        <v>5.7566699999999997</v>
      </c>
      <c r="Z29" s="154">
        <v>0</v>
      </c>
      <c r="AA29" s="157">
        <v>0.43722504000000001</v>
      </c>
      <c r="AB29" s="157"/>
      <c r="AC29" s="157"/>
    </row>
    <row r="30" spans="1:29" ht="16.5" customHeight="1">
      <c r="A30" s="213" t="s">
        <v>175</v>
      </c>
      <c r="B30" s="213" t="s">
        <v>50</v>
      </c>
      <c r="C30" s="213" t="s">
        <v>108</v>
      </c>
      <c r="D30" s="213" t="s">
        <v>142</v>
      </c>
      <c r="E30" s="213" t="s">
        <v>176</v>
      </c>
      <c r="F30" s="213" t="s">
        <v>177</v>
      </c>
      <c r="G30" s="213" t="s">
        <v>182</v>
      </c>
      <c r="H30" s="213">
        <v>635</v>
      </c>
      <c r="I30" s="154">
        <v>0.53703000000000001</v>
      </c>
      <c r="J30" s="213">
        <v>54</v>
      </c>
      <c r="K30" s="154">
        <v>8.5039370078740198E-2</v>
      </c>
      <c r="L30" s="154">
        <v>0.15835124681813001</v>
      </c>
      <c r="M30" s="213"/>
      <c r="N30" s="213">
        <v>54</v>
      </c>
      <c r="O30" s="154" t="s">
        <v>15</v>
      </c>
      <c r="P30" s="154">
        <v>0.15835124681813001</v>
      </c>
      <c r="Q30" s="213">
        <v>273</v>
      </c>
      <c r="R30" s="154">
        <v>0.42992125984252</v>
      </c>
      <c r="S30" s="156">
        <v>113</v>
      </c>
      <c r="T30" s="156">
        <v>81</v>
      </c>
      <c r="U30" s="156">
        <v>42</v>
      </c>
      <c r="V30" s="154">
        <v>0.37168141592920401</v>
      </c>
      <c r="W30" s="154">
        <v>0.51851851851851805</v>
      </c>
      <c r="X30" s="155">
        <v>5.6111111111111098</v>
      </c>
      <c r="Y30" s="155">
        <v>5.2865419500000002</v>
      </c>
      <c r="Z30" s="154">
        <v>1.0613953628252399</v>
      </c>
      <c r="AA30" s="154">
        <v>0.44614799999999999</v>
      </c>
      <c r="AB30" s="154">
        <v>4.2519685039370099E-2</v>
      </c>
      <c r="AC30" s="154">
        <v>9.5303991140541E-2</v>
      </c>
    </row>
    <row r="31" spans="1:29" ht="12.75">
      <c r="A31" s="213" t="s">
        <v>175</v>
      </c>
      <c r="B31" s="213" t="s">
        <v>50</v>
      </c>
      <c r="C31" s="213" t="s">
        <v>107</v>
      </c>
      <c r="D31" s="213" t="s">
        <v>153</v>
      </c>
      <c r="E31" s="213" t="s">
        <v>176</v>
      </c>
      <c r="F31" s="213" t="s">
        <v>179</v>
      </c>
      <c r="G31" s="213" t="s">
        <v>182</v>
      </c>
      <c r="H31" s="213">
        <v>635</v>
      </c>
      <c r="I31" s="154">
        <v>0.53703000000000001</v>
      </c>
      <c r="J31" s="213">
        <v>45</v>
      </c>
      <c r="K31" s="154">
        <v>7.0866141732283505E-2</v>
      </c>
      <c r="L31" s="154">
        <v>0.13195937234844099</v>
      </c>
      <c r="M31" s="213"/>
      <c r="N31" s="213">
        <v>44</v>
      </c>
      <c r="O31" s="154" t="s">
        <v>15</v>
      </c>
      <c r="P31" s="154">
        <v>0.13195937234844099</v>
      </c>
      <c r="Q31" s="213">
        <v>273</v>
      </c>
      <c r="R31" s="154">
        <v>0.42992125984252</v>
      </c>
      <c r="S31" s="156">
        <v>101</v>
      </c>
      <c r="T31" s="156">
        <v>77</v>
      </c>
      <c r="U31" s="156">
        <v>51</v>
      </c>
      <c r="V31" s="154">
        <v>0.50495049504950495</v>
      </c>
      <c r="W31" s="154">
        <v>0.662337662337662</v>
      </c>
      <c r="X31" s="155">
        <v>5.06666666666667</v>
      </c>
      <c r="Y31" s="155">
        <v>5.2865419500000002</v>
      </c>
      <c r="Z31" s="154">
        <v>0.95840848603625906</v>
      </c>
      <c r="AA31" s="148">
        <v>0.44614799999999999</v>
      </c>
      <c r="AB31" s="188">
        <v>3.4645669291338603E-2</v>
      </c>
      <c r="AC31" s="188">
        <v>7.7655103892292604E-2</v>
      </c>
    </row>
    <row r="32" spans="1:29" ht="12.75">
      <c r="A32" s="213" t="s">
        <v>175</v>
      </c>
      <c r="B32" s="213" t="s">
        <v>50</v>
      </c>
      <c r="C32" s="213" t="s">
        <v>109</v>
      </c>
      <c r="D32" s="213" t="s">
        <v>114</v>
      </c>
      <c r="E32" s="213" t="s">
        <v>176</v>
      </c>
      <c r="F32" s="213" t="s">
        <v>179</v>
      </c>
      <c r="G32" s="213" t="s">
        <v>182</v>
      </c>
      <c r="H32" s="213">
        <v>636</v>
      </c>
      <c r="I32" s="154">
        <v>0.53703000000000001</v>
      </c>
      <c r="J32" s="213">
        <v>92</v>
      </c>
      <c r="K32" s="154">
        <v>0.14465408805031399</v>
      </c>
      <c r="L32" s="154">
        <v>0.269359417630885</v>
      </c>
      <c r="M32" s="213"/>
      <c r="N32" s="213">
        <v>92</v>
      </c>
      <c r="O32" s="154" t="s">
        <v>15</v>
      </c>
      <c r="P32" s="154">
        <v>0.269359417630885</v>
      </c>
      <c r="Q32" s="213">
        <v>278</v>
      </c>
      <c r="R32" s="154">
        <v>0.437106918238994</v>
      </c>
      <c r="S32" s="156">
        <v>116</v>
      </c>
      <c r="T32" s="156">
        <v>80</v>
      </c>
      <c r="U32" s="156">
        <v>103</v>
      </c>
      <c r="V32" s="154">
        <v>0.88793103448275901</v>
      </c>
      <c r="W32" s="154">
        <v>1.2875000000000001</v>
      </c>
      <c r="X32" s="155">
        <v>5.9673913043478297</v>
      </c>
      <c r="Y32" s="155">
        <v>5.1953946750000002</v>
      </c>
      <c r="Z32" s="154">
        <v>1.14859248962598</v>
      </c>
      <c r="AA32" s="207">
        <v>0.44614799999999999</v>
      </c>
      <c r="AB32" s="208">
        <v>7.2327044025157203E-2</v>
      </c>
      <c r="AC32" s="208">
        <v>0.16211446431488499</v>
      </c>
    </row>
    <row r="33" spans="1:29" ht="12.75">
      <c r="A33" s="213" t="s">
        <v>175</v>
      </c>
      <c r="B33" s="213" t="s">
        <v>50</v>
      </c>
      <c r="C33" s="213" t="s">
        <v>110</v>
      </c>
      <c r="D33" s="213" t="s">
        <v>158</v>
      </c>
      <c r="E33" s="213" t="s">
        <v>176</v>
      </c>
      <c r="F33" s="213" t="s">
        <v>177</v>
      </c>
      <c r="G33" s="213" t="s">
        <v>182</v>
      </c>
      <c r="H33" s="213">
        <v>645</v>
      </c>
      <c r="I33" s="154">
        <v>0.53703000000000001</v>
      </c>
      <c r="J33" s="213"/>
      <c r="K33" s="154">
        <v>0</v>
      </c>
      <c r="L33" s="154">
        <v>0</v>
      </c>
      <c r="M33" s="213"/>
      <c r="N33" s="213"/>
      <c r="O33" s="154" t="s">
        <v>15</v>
      </c>
      <c r="P33" s="154">
        <v>0</v>
      </c>
      <c r="Q33" s="213"/>
      <c r="R33" s="154">
        <v>0</v>
      </c>
      <c r="S33" s="156">
        <v>122</v>
      </c>
      <c r="T33" s="156">
        <v>82</v>
      </c>
      <c r="U33" s="156"/>
      <c r="V33" s="154">
        <v>0</v>
      </c>
      <c r="W33" s="154">
        <v>0</v>
      </c>
      <c r="X33" s="155"/>
      <c r="Y33" s="155">
        <v>5.1953946750000002</v>
      </c>
      <c r="Z33" s="154">
        <v>0</v>
      </c>
      <c r="AA33" s="207">
        <v>0.44614799999999999</v>
      </c>
      <c r="AB33" s="208"/>
      <c r="AC33" s="208"/>
    </row>
    <row r="34" spans="1:29" ht="12.75">
      <c r="A34" s="213" t="s">
        <v>175</v>
      </c>
      <c r="B34" s="213" t="s">
        <v>50</v>
      </c>
      <c r="C34" s="213" t="s">
        <v>132</v>
      </c>
      <c r="D34" s="213" t="s">
        <v>144</v>
      </c>
      <c r="E34" s="213" t="s">
        <v>183</v>
      </c>
      <c r="F34" s="213" t="s">
        <v>180</v>
      </c>
      <c r="G34" s="213" t="s">
        <v>182</v>
      </c>
      <c r="H34" s="213">
        <v>500</v>
      </c>
      <c r="I34" s="154">
        <v>0.49571999999999999</v>
      </c>
      <c r="J34" s="213">
        <v>43</v>
      </c>
      <c r="K34" s="154">
        <v>8.5999999999999993E-2</v>
      </c>
      <c r="L34" s="154">
        <v>0.17348503187283101</v>
      </c>
      <c r="M34" s="213"/>
      <c r="N34" s="213">
        <v>39</v>
      </c>
      <c r="O34" s="154" t="s">
        <v>15</v>
      </c>
      <c r="P34" s="154">
        <v>0.17348503187283101</v>
      </c>
      <c r="Q34" s="213">
        <v>259</v>
      </c>
      <c r="R34" s="154">
        <v>0.51800000000000002</v>
      </c>
      <c r="S34" s="156">
        <v>172</v>
      </c>
      <c r="T34" s="156">
        <v>133</v>
      </c>
      <c r="U34" s="156">
        <v>77</v>
      </c>
      <c r="V34" s="154">
        <v>0.44767441860465101</v>
      </c>
      <c r="W34" s="154">
        <v>0.57894736842105299</v>
      </c>
      <c r="X34" s="155">
        <v>6.4871794871794899</v>
      </c>
      <c r="Y34" s="155">
        <v>5.7566699999999997</v>
      </c>
      <c r="Z34" s="154">
        <v>1.1268979266102599</v>
      </c>
      <c r="AA34" s="207">
        <v>0.43722504000000001</v>
      </c>
      <c r="AB34" s="208">
        <v>3.9E-2</v>
      </c>
      <c r="AC34" s="208">
        <v>8.9198916878136705E-2</v>
      </c>
    </row>
    <row r="35" spans="1:29" ht="12.75">
      <c r="A35" s="213" t="s">
        <v>175</v>
      </c>
      <c r="B35" s="213" t="s">
        <v>50</v>
      </c>
      <c r="C35" s="213" t="s">
        <v>164</v>
      </c>
      <c r="D35" s="213" t="s">
        <v>137</v>
      </c>
      <c r="E35" s="213" t="s">
        <v>183</v>
      </c>
      <c r="F35" s="213" t="s">
        <v>180</v>
      </c>
      <c r="G35" s="213" t="s">
        <v>182</v>
      </c>
      <c r="H35" s="213">
        <v>540</v>
      </c>
      <c r="I35" s="154">
        <v>0.49571999999999999</v>
      </c>
      <c r="J35" s="213">
        <v>40</v>
      </c>
      <c r="K35" s="154">
        <v>7.4074074074074098E-2</v>
      </c>
      <c r="L35" s="154">
        <v>0.14942724536850299</v>
      </c>
      <c r="M35" s="213"/>
      <c r="N35" s="213">
        <v>40</v>
      </c>
      <c r="O35" s="154" t="s">
        <v>15</v>
      </c>
      <c r="P35" s="154">
        <v>0.14942724536850299</v>
      </c>
      <c r="Q35" s="213">
        <v>123</v>
      </c>
      <c r="R35" s="154">
        <v>0.227777777777778</v>
      </c>
      <c r="S35" s="156">
        <v>173</v>
      </c>
      <c r="T35" s="156">
        <v>133</v>
      </c>
      <c r="U35" s="156">
        <v>93</v>
      </c>
      <c r="V35" s="154">
        <v>0.53757225433526001</v>
      </c>
      <c r="W35" s="154">
        <v>0.69924812030075201</v>
      </c>
      <c r="X35" s="155">
        <v>9.9148936170212796</v>
      </c>
      <c r="Y35" s="155">
        <v>5.6329015949999999</v>
      </c>
      <c r="Z35" s="154">
        <v>1.7601751867673601</v>
      </c>
      <c r="AA35" s="148">
        <v>0.44614799999999999</v>
      </c>
      <c r="AB35" s="188">
        <v>3.7037037037037E-2</v>
      </c>
      <c r="AC35" s="188">
        <v>8.3015136315834695E-2</v>
      </c>
    </row>
    <row r="36" spans="1:29" ht="12.75">
      <c r="A36" s="210" t="s">
        <v>175</v>
      </c>
      <c r="B36" s="210" t="s">
        <v>50</v>
      </c>
      <c r="C36" s="210" t="s">
        <v>186</v>
      </c>
      <c r="D36" s="210" t="s">
        <v>163</v>
      </c>
      <c r="E36" s="210" t="s">
        <v>87</v>
      </c>
      <c r="F36" s="210" t="s">
        <v>87</v>
      </c>
      <c r="G36" s="210" t="s">
        <v>87</v>
      </c>
      <c r="H36" s="210">
        <v>6135</v>
      </c>
      <c r="I36" s="157">
        <v>0.53124660000000001</v>
      </c>
      <c r="J36" s="210">
        <v>373</v>
      </c>
      <c r="K36" s="157">
        <v>6.0798696006519999E-2</v>
      </c>
      <c r="L36" s="157">
        <v>0.114445336697722</v>
      </c>
      <c r="M36" s="210">
        <v>0</v>
      </c>
      <c r="N36" s="210">
        <v>367</v>
      </c>
      <c r="O36" s="157" t="s">
        <v>15</v>
      </c>
      <c r="P36" s="157">
        <v>0.114445336697722</v>
      </c>
      <c r="Q36" s="210">
        <v>1589</v>
      </c>
      <c r="R36" s="157">
        <v>0.25900570497147501</v>
      </c>
      <c r="S36" s="211">
        <v>129.80000000000001</v>
      </c>
      <c r="T36" s="211">
        <v>111</v>
      </c>
      <c r="U36" s="211">
        <v>55.1</v>
      </c>
      <c r="V36" s="157">
        <v>0.42449922958397501</v>
      </c>
      <c r="W36" s="157">
        <v>0.49639639639639599</v>
      </c>
      <c r="X36" s="212">
        <v>4.5942326559033599</v>
      </c>
      <c r="Y36" s="212">
        <v>5.4060887969999998</v>
      </c>
      <c r="Z36" s="157">
        <v>0.84982560006281005</v>
      </c>
      <c r="AA36" s="207">
        <v>0.44436340800000002</v>
      </c>
      <c r="AB36" s="208">
        <v>2.9618984227866199E-2</v>
      </c>
      <c r="AC36" s="208">
        <v>6.6654867828059794E-2</v>
      </c>
    </row>
    <row r="37" spans="1:29" ht="12.75">
      <c r="A37" s="213" t="s">
        <v>175</v>
      </c>
      <c r="B37" s="213" t="s">
        <v>50</v>
      </c>
      <c r="C37" s="213" t="s">
        <v>187</v>
      </c>
      <c r="D37" s="213" t="s">
        <v>163</v>
      </c>
      <c r="E37" s="213" t="s">
        <v>87</v>
      </c>
      <c r="F37" s="213" t="s">
        <v>87</v>
      </c>
      <c r="G37" s="213" t="s">
        <v>87</v>
      </c>
      <c r="H37" s="213">
        <v>11914</v>
      </c>
      <c r="I37" s="154">
        <v>0.54092735999999997</v>
      </c>
      <c r="J37" s="213">
        <v>947</v>
      </c>
      <c r="K37" s="154">
        <v>7.9486318616753399E-2</v>
      </c>
      <c r="L37" s="154">
        <v>0.14694453358164999</v>
      </c>
      <c r="M37" s="213">
        <v>0</v>
      </c>
      <c r="N37" s="213">
        <v>936</v>
      </c>
      <c r="O37" s="154" t="s">
        <v>15</v>
      </c>
      <c r="P37" s="154">
        <v>0.14694453358164999</v>
      </c>
      <c r="Q37" s="213">
        <v>3260</v>
      </c>
      <c r="R37" s="154">
        <v>0.27362766493201301</v>
      </c>
      <c r="S37" s="156">
        <v>125.24</v>
      </c>
      <c r="T37" s="156">
        <v>112.64</v>
      </c>
      <c r="U37" s="156">
        <v>51.16</v>
      </c>
      <c r="V37" s="154">
        <v>0.40849568827850502</v>
      </c>
      <c r="W37" s="154">
        <v>0.45419034090909099</v>
      </c>
      <c r="X37" s="155">
        <v>4.1600442835209597</v>
      </c>
      <c r="Y37" s="155">
        <v>5.3739377568000002</v>
      </c>
      <c r="Z37" s="154">
        <v>0.77411471285780697</v>
      </c>
      <c r="AA37" s="148">
        <v>0.45829443370400003</v>
      </c>
      <c r="AB37" s="188">
        <v>3.4314724017311601E-2</v>
      </c>
      <c r="AC37" s="188">
        <v>7.4874843536665195E-2</v>
      </c>
    </row>
    <row r="38" spans="1:29" ht="12.75">
      <c r="A38"/>
      <c r="B38"/>
      <c r="C38"/>
      <c r="D38"/>
      <c r="E38"/>
      <c r="F38"/>
      <c r="G38"/>
      <c r="H38"/>
      <c r="I38" s="154"/>
      <c r="J38"/>
      <c r="K38" s="154"/>
      <c r="L38" s="154"/>
      <c r="M38"/>
      <c r="N38"/>
      <c r="O38" s="154"/>
      <c r="P38" s="154"/>
      <c r="Q38"/>
      <c r="R38" s="154"/>
      <c r="S38" s="156"/>
      <c r="T38" s="156"/>
      <c r="U38" s="156"/>
      <c r="V38" s="154"/>
      <c r="W38" s="154"/>
      <c r="X38" s="155"/>
      <c r="Y38" s="155"/>
      <c r="Z38" s="154"/>
      <c r="AA38" s="148"/>
    </row>
    <row r="39" spans="1:29" ht="12.75">
      <c r="A39"/>
      <c r="B39"/>
      <c r="C39"/>
      <c r="D39"/>
      <c r="E39"/>
      <c r="F39"/>
      <c r="G39"/>
      <c r="H39"/>
      <c r="I39" s="154"/>
      <c r="J39"/>
      <c r="K39" s="154"/>
      <c r="L39" s="154"/>
      <c r="M39"/>
      <c r="N39"/>
      <c r="O39" s="154"/>
      <c r="P39" s="154"/>
      <c r="Q39"/>
      <c r="R39" s="154"/>
      <c r="S39" s="156"/>
      <c r="T39" s="156"/>
      <c r="U39" s="156"/>
      <c r="V39" s="154"/>
      <c r="W39" s="154"/>
      <c r="X39" s="155"/>
      <c r="Y39" s="155"/>
      <c r="Z39" s="154"/>
      <c r="AA39" s="148"/>
    </row>
    <row r="40" spans="1:29" ht="12.75">
      <c r="A40"/>
      <c r="B40"/>
      <c r="C40"/>
      <c r="D40"/>
      <c r="E40"/>
      <c r="F40"/>
      <c r="G40"/>
      <c r="H40"/>
      <c r="I40" s="154"/>
      <c r="J40"/>
      <c r="K40" s="154"/>
      <c r="L40" s="154"/>
      <c r="M40"/>
      <c r="N40"/>
      <c r="O40" s="154"/>
      <c r="P40" s="154"/>
      <c r="Q40"/>
      <c r="R40" s="154"/>
      <c r="S40" s="156"/>
      <c r="T40" s="156"/>
      <c r="U40" s="156"/>
      <c r="V40" s="154"/>
      <c r="W40" s="154"/>
      <c r="X40" s="155"/>
      <c r="Y40" s="155"/>
      <c r="Z40" s="154"/>
      <c r="AA40" s="148"/>
    </row>
    <row r="41" spans="1:29" ht="12.75">
      <c r="A41"/>
      <c r="B41"/>
      <c r="C41"/>
      <c r="D41"/>
      <c r="E41"/>
      <c r="F41"/>
      <c r="G41"/>
      <c r="H41"/>
      <c r="I41" s="154"/>
      <c r="J41"/>
      <c r="K41" s="154"/>
      <c r="L41" s="154"/>
      <c r="M41"/>
      <c r="N41"/>
      <c r="O41" s="154"/>
      <c r="P41" s="154"/>
      <c r="Q41"/>
      <c r="R41" s="154"/>
      <c r="S41" s="156"/>
      <c r="T41" s="156"/>
      <c r="U41" s="156"/>
      <c r="V41" s="154"/>
      <c r="W41" s="154"/>
      <c r="X41" s="155"/>
      <c r="Y41" s="155"/>
      <c r="Z41" s="154"/>
      <c r="AA41" s="148"/>
    </row>
    <row r="42" spans="1:29" ht="12.75">
      <c r="A42"/>
      <c r="B42"/>
      <c r="C42"/>
      <c r="D42"/>
      <c r="E42"/>
      <c r="F42"/>
      <c r="G42"/>
      <c r="H42"/>
      <c r="I42" s="154"/>
      <c r="J42"/>
      <c r="K42" s="154"/>
      <c r="L42" s="154"/>
      <c r="M42"/>
      <c r="N42"/>
      <c r="O42" s="154"/>
      <c r="P42" s="154"/>
      <c r="Q42"/>
      <c r="R42" s="154"/>
      <c r="S42" s="156"/>
      <c r="T42" s="156"/>
      <c r="U42" s="156"/>
      <c r="V42" s="154"/>
      <c r="W42" s="154"/>
      <c r="X42" s="155"/>
      <c r="Y42" s="155"/>
      <c r="Z42" s="154"/>
      <c r="AA42" s="148"/>
    </row>
    <row r="43" spans="1:29" ht="12.75">
      <c r="A43"/>
      <c r="B43"/>
      <c r="C43"/>
      <c r="D43"/>
      <c r="E43"/>
      <c r="F43"/>
      <c r="G43"/>
      <c r="H43"/>
      <c r="I43" s="154"/>
      <c r="J43"/>
      <c r="K43" s="154"/>
      <c r="L43" s="154"/>
      <c r="M43"/>
      <c r="N43"/>
      <c r="O43" s="154"/>
      <c r="P43" s="154"/>
      <c r="Q43"/>
      <c r="R43" s="154"/>
      <c r="S43" s="156"/>
      <c r="T43" s="156"/>
      <c r="U43" s="156"/>
      <c r="V43" s="154"/>
      <c r="W43" s="154"/>
      <c r="X43" s="155"/>
      <c r="Y43" s="155"/>
      <c r="Z43" s="154"/>
      <c r="AA43" s="148"/>
    </row>
    <row r="44" spans="1:29" ht="12.75">
      <c r="A44"/>
      <c r="B44"/>
      <c r="C44"/>
      <c r="D44"/>
      <c r="E44"/>
      <c r="F44"/>
      <c r="G44"/>
      <c r="H44"/>
      <c r="I44" s="154"/>
      <c r="J44"/>
      <c r="K44" s="154"/>
      <c r="L44" s="154"/>
      <c r="M44"/>
      <c r="N44"/>
      <c r="O44" s="154"/>
      <c r="P44" s="154"/>
      <c r="Q44"/>
      <c r="R44" s="154"/>
      <c r="S44" s="156"/>
      <c r="T44" s="156"/>
      <c r="U44" s="156"/>
      <c r="V44" s="154"/>
      <c r="W44" s="154"/>
      <c r="X44" s="155"/>
      <c r="Y44" s="155"/>
      <c r="Z44" s="154"/>
      <c r="AA44" s="148"/>
    </row>
    <row r="45" spans="1:29" ht="12.75">
      <c r="A45"/>
      <c r="B45"/>
      <c r="C45"/>
      <c r="D45"/>
      <c r="E45"/>
      <c r="F45"/>
      <c r="G45"/>
      <c r="H45"/>
      <c r="I45" s="154"/>
      <c r="J45"/>
      <c r="K45" s="154"/>
      <c r="L45" s="154"/>
      <c r="M45"/>
      <c r="N45"/>
      <c r="O45" s="154"/>
      <c r="P45" s="154"/>
      <c r="Q45"/>
      <c r="R45" s="154"/>
      <c r="S45" s="156"/>
      <c r="T45" s="156"/>
      <c r="U45" s="156"/>
      <c r="V45" s="154"/>
      <c r="W45" s="154"/>
      <c r="X45" s="155"/>
      <c r="Y45" s="155"/>
      <c r="Z45" s="154"/>
      <c r="AA45" s="148"/>
    </row>
    <row r="46" spans="1:29" ht="12.75">
      <c r="A46"/>
      <c r="B46"/>
      <c r="C46"/>
      <c r="D46"/>
      <c r="E46"/>
      <c r="F46"/>
      <c r="G46"/>
      <c r="H46"/>
      <c r="I46" s="154"/>
      <c r="J46"/>
      <c r="K46" s="154"/>
      <c r="L46" s="154"/>
      <c r="M46"/>
      <c r="N46"/>
      <c r="O46" s="154"/>
      <c r="P46" s="154"/>
      <c r="Q46"/>
      <c r="R46" s="154"/>
      <c r="S46" s="156"/>
      <c r="T46" s="156"/>
      <c r="U46" s="156"/>
      <c r="V46" s="154"/>
      <c r="W46" s="154"/>
      <c r="X46" s="155"/>
      <c r="Y46" s="155"/>
      <c r="Z46" s="154"/>
      <c r="AA46" s="148"/>
    </row>
    <row r="47" spans="1:29" ht="12.75">
      <c r="A47"/>
      <c r="B47"/>
      <c r="C47"/>
      <c r="D47"/>
      <c r="E47"/>
      <c r="F47"/>
      <c r="G47"/>
      <c r="H47"/>
      <c r="I47" s="154"/>
      <c r="J47"/>
      <c r="K47" s="154"/>
      <c r="L47" s="154"/>
      <c r="M47"/>
      <c r="N47"/>
      <c r="O47" s="154"/>
      <c r="P47" s="154"/>
      <c r="Q47"/>
      <c r="R47" s="154"/>
      <c r="S47" s="156"/>
      <c r="T47" s="156"/>
      <c r="U47" s="156"/>
      <c r="V47" s="154"/>
      <c r="W47" s="154"/>
      <c r="X47" s="155"/>
      <c r="Y47" s="155"/>
      <c r="Z47" s="154"/>
      <c r="AA47" s="148"/>
    </row>
    <row r="48" spans="1:29" ht="12.75">
      <c r="A48"/>
      <c r="B48"/>
      <c r="C48"/>
      <c r="D48"/>
      <c r="E48"/>
      <c r="F48"/>
      <c r="G48"/>
      <c r="H48"/>
      <c r="I48" s="154"/>
      <c r="J48"/>
      <c r="K48" s="154"/>
      <c r="L48" s="154"/>
      <c r="M48"/>
      <c r="N48"/>
      <c r="O48" s="154"/>
      <c r="P48" s="154"/>
      <c r="Q48"/>
      <c r="R48" s="154"/>
      <c r="S48" s="156"/>
      <c r="T48" s="156"/>
      <c r="U48" s="156"/>
      <c r="V48" s="154"/>
      <c r="W48" s="154"/>
      <c r="X48" s="155"/>
      <c r="Y48" s="155"/>
      <c r="Z48" s="154"/>
      <c r="AA48" s="148"/>
    </row>
    <row r="49" spans="1:27" ht="12.75">
      <c r="A49"/>
      <c r="B49"/>
      <c r="C49"/>
      <c r="D49"/>
      <c r="E49"/>
      <c r="F49"/>
      <c r="G49"/>
      <c r="H49"/>
      <c r="I49" s="154"/>
      <c r="J49"/>
      <c r="K49" s="154"/>
      <c r="L49" s="154"/>
      <c r="M49"/>
      <c r="N49"/>
      <c r="O49" s="154"/>
      <c r="P49" s="154"/>
      <c r="Q49"/>
      <c r="R49" s="154"/>
      <c r="S49" s="156"/>
      <c r="T49" s="156"/>
      <c r="U49" s="156"/>
      <c r="V49" s="154"/>
      <c r="W49" s="154"/>
      <c r="X49" s="155"/>
      <c r="Y49" s="155"/>
      <c r="Z49" s="154"/>
      <c r="AA49" s="148"/>
    </row>
    <row r="50" spans="1:27" ht="12.75">
      <c r="A50"/>
      <c r="B50"/>
      <c r="C50"/>
      <c r="D50"/>
      <c r="E50"/>
      <c r="F50"/>
      <c r="G50"/>
      <c r="H50"/>
      <c r="I50" s="154"/>
      <c r="J50"/>
      <c r="K50" s="154"/>
      <c r="L50" s="154"/>
      <c r="M50"/>
      <c r="N50"/>
      <c r="O50" s="154"/>
      <c r="P50" s="154"/>
      <c r="Q50"/>
      <c r="R50" s="154"/>
      <c r="S50" s="156"/>
      <c r="T50" s="156"/>
      <c r="U50" s="156"/>
      <c r="V50" s="154"/>
      <c r="W50" s="154"/>
      <c r="X50" s="155"/>
      <c r="Y50" s="155"/>
      <c r="Z50" s="154"/>
      <c r="AA50" s="148"/>
    </row>
    <row r="51" spans="1:27" ht="12.75">
      <c r="A51"/>
      <c r="B51"/>
      <c r="C51"/>
      <c r="D51"/>
      <c r="E51"/>
      <c r="F51"/>
      <c r="G51"/>
      <c r="H51"/>
      <c r="I51" s="154"/>
      <c r="J51"/>
      <c r="K51" s="154"/>
      <c r="L51" s="154"/>
      <c r="M51"/>
      <c r="N51"/>
      <c r="O51" s="154"/>
      <c r="P51" s="154"/>
      <c r="Q51"/>
      <c r="R51" s="154"/>
      <c r="S51" s="156"/>
      <c r="T51" s="156"/>
      <c r="U51" s="156"/>
      <c r="V51" s="154"/>
      <c r="W51" s="154"/>
      <c r="X51" s="155"/>
      <c r="Y51" s="155"/>
      <c r="Z51" s="154"/>
      <c r="AA51" s="148"/>
    </row>
    <row r="52" spans="1:27" ht="12.75">
      <c r="A52"/>
      <c r="B52"/>
      <c r="C52"/>
      <c r="D52"/>
      <c r="E52"/>
      <c r="F52"/>
      <c r="G52"/>
      <c r="H52"/>
      <c r="I52" s="154"/>
      <c r="J52"/>
      <c r="K52" s="154"/>
      <c r="L52" s="154"/>
      <c r="M52"/>
      <c r="N52"/>
      <c r="O52" s="154"/>
      <c r="P52" s="154"/>
      <c r="Q52"/>
      <c r="R52" s="154"/>
      <c r="S52" s="156"/>
      <c r="T52" s="156"/>
      <c r="U52" s="156"/>
      <c r="V52" s="154"/>
      <c r="W52" s="154"/>
      <c r="X52" s="155"/>
      <c r="Y52" s="155"/>
      <c r="Z52" s="154"/>
      <c r="AA52" s="148"/>
    </row>
    <row r="53" spans="1:27" ht="12.75">
      <c r="A53"/>
      <c r="B53"/>
      <c r="C53"/>
      <c r="D53"/>
      <c r="E53"/>
      <c r="F53"/>
      <c r="G53"/>
      <c r="H53"/>
      <c r="I53" s="154"/>
      <c r="J53"/>
      <c r="K53" s="154"/>
      <c r="L53" s="154"/>
      <c r="M53"/>
      <c r="N53"/>
      <c r="O53" s="154"/>
      <c r="P53" s="154"/>
      <c r="Q53"/>
      <c r="R53" s="154"/>
      <c r="S53" s="156"/>
      <c r="T53" s="156"/>
      <c r="U53" s="156"/>
      <c r="V53" s="154"/>
      <c r="W53" s="154"/>
      <c r="X53" s="155"/>
      <c r="Y53" s="155"/>
      <c r="Z53" s="154"/>
      <c r="AA53" s="148"/>
    </row>
    <row r="54" spans="1:27" ht="12.75">
      <c r="A54"/>
      <c r="B54"/>
      <c r="C54"/>
      <c r="D54"/>
      <c r="E54"/>
      <c r="F54"/>
      <c r="G54"/>
      <c r="H54"/>
      <c r="I54" s="154"/>
      <c r="J54"/>
      <c r="K54" s="154"/>
      <c r="L54" s="154"/>
      <c r="M54"/>
      <c r="N54"/>
      <c r="O54" s="154"/>
      <c r="P54" s="154"/>
      <c r="Q54"/>
      <c r="R54" s="154"/>
      <c r="S54" s="156"/>
      <c r="T54" s="156"/>
      <c r="U54" s="156"/>
      <c r="V54" s="154"/>
      <c r="W54" s="154"/>
      <c r="X54" s="155"/>
      <c r="Y54" s="155"/>
      <c r="Z54" s="154"/>
      <c r="AA54" s="148"/>
    </row>
    <row r="55" spans="1:27" ht="12.75">
      <c r="A55"/>
      <c r="B55"/>
      <c r="C55"/>
      <c r="D55"/>
      <c r="E55"/>
      <c r="F55"/>
      <c r="G55"/>
      <c r="H55"/>
      <c r="I55" s="154"/>
      <c r="J55"/>
      <c r="K55" s="154"/>
      <c r="L55" s="154"/>
      <c r="M55"/>
      <c r="N55"/>
      <c r="O55" s="154"/>
      <c r="P55" s="154"/>
      <c r="Q55"/>
      <c r="R55" s="154"/>
      <c r="S55" s="156"/>
      <c r="T55" s="156"/>
      <c r="U55" s="156"/>
      <c r="V55" s="154"/>
      <c r="W55" s="154"/>
      <c r="X55" s="155"/>
      <c r="Y55" s="155"/>
      <c r="Z55" s="154"/>
      <c r="AA55" s="148"/>
    </row>
    <row r="56" spans="1:27" ht="12.75">
      <c r="A56"/>
      <c r="B56"/>
      <c r="C56"/>
      <c r="D56"/>
      <c r="E56"/>
      <c r="F56"/>
      <c r="G56"/>
      <c r="H56"/>
      <c r="I56" s="154"/>
      <c r="J56"/>
      <c r="K56" s="154"/>
      <c r="L56" s="154"/>
      <c r="M56"/>
      <c r="N56"/>
      <c r="O56" s="154"/>
      <c r="P56" s="154"/>
      <c r="Q56"/>
      <c r="R56" s="154"/>
      <c r="S56" s="156"/>
      <c r="T56" s="156"/>
      <c r="U56" s="156"/>
      <c r="V56" s="154"/>
      <c r="W56" s="154"/>
      <c r="X56" s="155"/>
      <c r="Y56" s="155"/>
      <c r="Z56" s="154"/>
      <c r="AA56" s="148"/>
    </row>
    <row r="57" spans="1:27" ht="12.75">
      <c r="A57"/>
      <c r="B57"/>
      <c r="C57"/>
      <c r="D57"/>
      <c r="E57"/>
      <c r="F57"/>
      <c r="G57"/>
      <c r="H57"/>
      <c r="I57" s="154"/>
      <c r="J57"/>
      <c r="K57" s="154"/>
      <c r="L57" s="154"/>
      <c r="M57"/>
      <c r="N57"/>
      <c r="O57" s="154"/>
      <c r="P57" s="154"/>
      <c r="Q57"/>
      <c r="R57" s="154"/>
      <c r="S57" s="156"/>
      <c r="T57" s="156"/>
      <c r="U57" s="156"/>
      <c r="V57" s="154"/>
      <c r="W57" s="154"/>
      <c r="X57" s="155"/>
      <c r="Y57" s="155"/>
      <c r="Z57" s="154"/>
      <c r="AA57" s="148"/>
    </row>
    <row r="58" spans="1:27" ht="12.75">
      <c r="A58"/>
      <c r="B58"/>
      <c r="C58"/>
      <c r="D58"/>
      <c r="E58"/>
      <c r="F58"/>
      <c r="G58"/>
      <c r="H58"/>
      <c r="I58" s="154"/>
      <c r="J58"/>
      <c r="K58" s="154"/>
      <c r="L58" s="154"/>
      <c r="M58"/>
      <c r="N58"/>
      <c r="O58" s="154"/>
      <c r="P58" s="154"/>
      <c r="Q58"/>
      <c r="R58" s="154"/>
      <c r="S58" s="156"/>
      <c r="T58" s="156"/>
      <c r="U58" s="156"/>
      <c r="V58" s="154"/>
      <c r="W58" s="154"/>
      <c r="X58" s="155"/>
      <c r="Y58" s="155"/>
      <c r="Z58" s="154"/>
      <c r="AA58" s="148"/>
    </row>
    <row r="59" spans="1:27" ht="12.75">
      <c r="A59"/>
      <c r="B59"/>
      <c r="C59"/>
      <c r="D59"/>
      <c r="E59"/>
      <c r="F59"/>
      <c r="G59"/>
      <c r="H59"/>
      <c r="I59" s="154"/>
      <c r="J59"/>
      <c r="K59" s="154"/>
      <c r="L59" s="154"/>
      <c r="M59"/>
      <c r="N59"/>
      <c r="O59" s="154"/>
      <c r="P59" s="154"/>
      <c r="Q59"/>
      <c r="R59" s="154"/>
      <c r="S59" s="156"/>
      <c r="T59" s="156"/>
      <c r="U59" s="156"/>
      <c r="V59" s="154"/>
      <c r="W59" s="154"/>
      <c r="X59" s="155"/>
      <c r="Y59" s="155"/>
      <c r="Z59" s="154"/>
      <c r="AA59" s="148"/>
    </row>
    <row r="60" spans="1:27" ht="12.75">
      <c r="A60"/>
      <c r="B60"/>
      <c r="C60"/>
      <c r="D60"/>
      <c r="E60"/>
      <c r="F60"/>
      <c r="G60"/>
      <c r="H60"/>
      <c r="I60" s="154"/>
      <c r="J60"/>
      <c r="K60" s="154"/>
      <c r="L60" s="154"/>
      <c r="M60"/>
      <c r="N60"/>
      <c r="O60" s="154"/>
      <c r="P60" s="154"/>
      <c r="Q60"/>
      <c r="R60" s="154"/>
      <c r="S60" s="156"/>
      <c r="T60" s="156"/>
      <c r="U60" s="156"/>
      <c r="V60" s="154"/>
      <c r="W60" s="154"/>
      <c r="X60" s="155"/>
      <c r="Y60" s="155"/>
      <c r="Z60" s="154"/>
      <c r="AA60" s="148"/>
    </row>
    <row r="61" spans="1:27" ht="12.75">
      <c r="A61"/>
      <c r="B61"/>
      <c r="C61"/>
      <c r="D61"/>
      <c r="E61"/>
      <c r="F61"/>
      <c r="G61"/>
      <c r="H61"/>
      <c r="I61" s="154"/>
      <c r="J61"/>
      <c r="K61" s="154"/>
      <c r="L61" s="154"/>
      <c r="M61"/>
      <c r="N61"/>
      <c r="O61" s="154"/>
      <c r="P61" s="154"/>
      <c r="Q61"/>
      <c r="R61" s="154"/>
      <c r="S61" s="156"/>
      <c r="T61" s="156"/>
      <c r="U61" s="156"/>
      <c r="V61" s="154"/>
      <c r="W61" s="154"/>
      <c r="X61" s="155"/>
      <c r="Y61" s="155"/>
      <c r="Z61" s="154"/>
      <c r="AA61" s="148"/>
    </row>
    <row r="62" spans="1:27" ht="12.75">
      <c r="A62"/>
      <c r="B62"/>
      <c r="C62"/>
      <c r="D62"/>
      <c r="E62"/>
      <c r="F62"/>
      <c r="G62"/>
      <c r="H62"/>
      <c r="I62" s="154"/>
      <c r="J62"/>
      <c r="K62" s="154"/>
      <c r="L62" s="154"/>
      <c r="M62"/>
      <c r="N62"/>
      <c r="O62" s="154"/>
      <c r="P62" s="154"/>
      <c r="Q62"/>
      <c r="R62" s="154"/>
      <c r="S62" s="156"/>
      <c r="T62" s="156"/>
      <c r="U62" s="156"/>
      <c r="V62" s="154"/>
      <c r="W62" s="154"/>
      <c r="X62" s="155"/>
      <c r="Y62" s="155"/>
      <c r="Z62" s="154"/>
      <c r="AA62" s="148"/>
    </row>
    <row r="63" spans="1:27" ht="12.75">
      <c r="A63"/>
      <c r="B63"/>
      <c r="C63"/>
      <c r="D63"/>
      <c r="E63"/>
      <c r="F63"/>
      <c r="G63"/>
      <c r="H63"/>
      <c r="I63" s="154"/>
      <c r="J63"/>
      <c r="K63" s="154"/>
      <c r="L63" s="154"/>
      <c r="M63"/>
      <c r="N63"/>
      <c r="O63" s="154"/>
      <c r="P63" s="154"/>
      <c r="Q63"/>
      <c r="R63" s="154"/>
      <c r="S63" s="156"/>
      <c r="T63" s="156"/>
      <c r="U63" s="156"/>
      <c r="V63" s="154"/>
      <c r="W63" s="154"/>
      <c r="X63" s="155"/>
      <c r="Y63" s="155"/>
      <c r="Z63" s="154"/>
      <c r="AA63" s="148"/>
    </row>
    <row r="64" spans="1:27" ht="12.75">
      <c r="A64"/>
      <c r="B64"/>
      <c r="C64"/>
      <c r="D64"/>
      <c r="E64"/>
      <c r="F64"/>
      <c r="G64"/>
      <c r="H64"/>
      <c r="I64" s="154"/>
      <c r="J64"/>
      <c r="K64" s="154"/>
      <c r="L64" s="154"/>
      <c r="M64"/>
      <c r="N64"/>
      <c r="O64" s="154"/>
      <c r="P64" s="154"/>
      <c r="Q64"/>
      <c r="R64" s="154"/>
      <c r="S64" s="156"/>
      <c r="T64" s="156"/>
      <c r="U64" s="156"/>
      <c r="V64" s="154"/>
      <c r="W64" s="154"/>
      <c r="X64" s="155"/>
      <c r="Y64" s="155"/>
      <c r="Z64" s="154"/>
      <c r="AA64" s="148"/>
    </row>
    <row r="65" spans="1:27" ht="12.75">
      <c r="A65"/>
      <c r="B65"/>
      <c r="C65"/>
      <c r="D65"/>
      <c r="E65"/>
      <c r="F65"/>
      <c r="G65"/>
      <c r="H65"/>
      <c r="I65" s="154"/>
      <c r="J65"/>
      <c r="K65" s="154"/>
      <c r="L65" s="154"/>
      <c r="M65"/>
      <c r="N65"/>
      <c r="O65" s="154"/>
      <c r="P65" s="154"/>
      <c r="Q65"/>
      <c r="R65" s="154"/>
      <c r="S65" s="156"/>
      <c r="T65" s="156"/>
      <c r="U65" s="156"/>
      <c r="V65" s="154"/>
      <c r="W65" s="154"/>
      <c r="X65" s="155"/>
      <c r="Y65" s="155"/>
      <c r="Z65" s="154"/>
      <c r="AA65" s="148"/>
    </row>
    <row r="66" spans="1:27" ht="12.75">
      <c r="A66"/>
      <c r="B66"/>
      <c r="C66"/>
      <c r="D66"/>
      <c r="E66"/>
      <c r="F66"/>
      <c r="G66"/>
      <c r="H66"/>
      <c r="I66" s="154"/>
      <c r="J66"/>
      <c r="K66" s="154"/>
      <c r="L66" s="154"/>
      <c r="M66"/>
      <c r="N66"/>
      <c r="O66" s="154"/>
      <c r="P66" s="154"/>
      <c r="Q66"/>
      <c r="R66" s="154"/>
      <c r="S66" s="156"/>
      <c r="T66" s="156"/>
      <c r="U66" s="156"/>
      <c r="V66" s="154"/>
      <c r="W66" s="154"/>
      <c r="X66" s="155"/>
      <c r="Y66" s="155"/>
      <c r="Z66" s="154"/>
      <c r="AA66" s="148"/>
    </row>
    <row r="67" spans="1:27" ht="12.75">
      <c r="A67"/>
      <c r="B67"/>
      <c r="C67"/>
      <c r="D67"/>
      <c r="E67"/>
      <c r="F67"/>
      <c r="G67"/>
      <c r="H67"/>
      <c r="I67" s="154"/>
      <c r="J67"/>
      <c r="K67" s="154"/>
      <c r="L67" s="154"/>
      <c r="M67"/>
      <c r="N67"/>
      <c r="O67" s="154"/>
      <c r="P67" s="154"/>
      <c r="Q67"/>
      <c r="R67" s="154"/>
      <c r="S67" s="156"/>
      <c r="T67" s="156"/>
      <c r="U67" s="156"/>
      <c r="V67" s="154"/>
      <c r="W67" s="154"/>
      <c r="X67" s="155"/>
      <c r="Y67" s="155"/>
      <c r="Z67" s="154"/>
      <c r="AA67" s="148"/>
    </row>
    <row r="68" spans="1:27" ht="12.75">
      <c r="A68"/>
      <c r="B68"/>
      <c r="C68"/>
      <c r="D68"/>
      <c r="E68"/>
      <c r="F68"/>
      <c r="G68"/>
      <c r="H68"/>
      <c r="I68" s="154"/>
      <c r="J68"/>
      <c r="K68" s="154"/>
      <c r="L68" s="154"/>
      <c r="M68"/>
      <c r="N68"/>
      <c r="O68" s="154"/>
      <c r="P68" s="154"/>
      <c r="Q68"/>
      <c r="R68" s="154"/>
      <c r="S68" s="156"/>
      <c r="T68" s="156"/>
      <c r="U68" s="156"/>
      <c r="V68" s="154"/>
      <c r="W68" s="154"/>
      <c r="X68" s="155"/>
      <c r="Y68" s="155"/>
      <c r="Z68" s="154"/>
      <c r="AA68" s="148"/>
    </row>
    <row r="69" spans="1:27" ht="12.75">
      <c r="A69"/>
      <c r="B69"/>
      <c r="C69"/>
      <c r="D69"/>
      <c r="E69"/>
      <c r="F69"/>
      <c r="G69"/>
      <c r="H69"/>
      <c r="I69" s="154"/>
      <c r="J69"/>
      <c r="K69" s="154"/>
      <c r="L69" s="154"/>
      <c r="M69"/>
      <c r="N69"/>
      <c r="O69" s="154"/>
      <c r="P69" s="154"/>
      <c r="Q69"/>
      <c r="R69" s="154"/>
      <c r="S69" s="156"/>
      <c r="T69" s="156"/>
      <c r="U69" s="156"/>
      <c r="V69" s="154"/>
      <c r="W69" s="154"/>
      <c r="X69" s="155"/>
      <c r="Y69" s="155"/>
      <c r="Z69" s="154"/>
      <c r="AA69" s="148"/>
    </row>
    <row r="70" spans="1:27" ht="12.75">
      <c r="A70"/>
      <c r="B70"/>
      <c r="C70"/>
      <c r="D70"/>
      <c r="E70"/>
      <c r="F70"/>
      <c r="G70"/>
      <c r="H70"/>
      <c r="I70" s="154"/>
      <c r="J70"/>
      <c r="K70" s="154"/>
      <c r="L70" s="154"/>
      <c r="M70"/>
      <c r="N70"/>
      <c r="O70" s="154"/>
      <c r="P70" s="154"/>
      <c r="Q70"/>
      <c r="R70" s="154"/>
      <c r="S70" s="156"/>
      <c r="T70" s="156"/>
      <c r="U70" s="156"/>
      <c r="V70" s="154"/>
      <c r="W70" s="154"/>
      <c r="X70" s="155"/>
      <c r="Y70" s="155"/>
      <c r="Z70" s="154"/>
      <c r="AA70" s="148"/>
    </row>
    <row r="71" spans="1:27" ht="12.75">
      <c r="A71"/>
      <c r="B71"/>
      <c r="C71"/>
      <c r="D71"/>
      <c r="E71"/>
      <c r="F71"/>
      <c r="G71"/>
      <c r="H71"/>
      <c r="I71" s="154"/>
      <c r="J71"/>
      <c r="K71" s="154"/>
      <c r="L71" s="154"/>
      <c r="M71"/>
      <c r="N71"/>
      <c r="O71" s="154"/>
      <c r="P71" s="154"/>
      <c r="Q71"/>
      <c r="R71" s="154"/>
      <c r="S71" s="156"/>
      <c r="T71" s="156"/>
      <c r="U71" s="156"/>
      <c r="V71" s="154"/>
      <c r="W71" s="154"/>
      <c r="X71" s="155"/>
      <c r="Y71" s="155"/>
      <c r="Z71" s="154"/>
      <c r="AA71" s="148"/>
    </row>
    <row r="72" spans="1:27" ht="12.75">
      <c r="A72"/>
      <c r="B72"/>
      <c r="C72"/>
      <c r="D72"/>
      <c r="E72"/>
      <c r="F72"/>
      <c r="G72"/>
      <c r="H72"/>
      <c r="I72" s="154"/>
      <c r="J72"/>
      <c r="K72" s="154"/>
      <c r="L72" s="154"/>
      <c r="M72"/>
      <c r="N72"/>
      <c r="O72" s="154"/>
      <c r="P72" s="154"/>
      <c r="Q72"/>
      <c r="R72" s="154"/>
      <c r="S72" s="156"/>
      <c r="T72" s="156"/>
      <c r="U72" s="156"/>
      <c r="V72" s="154"/>
      <c r="W72" s="154"/>
      <c r="X72" s="155"/>
      <c r="Y72" s="155"/>
      <c r="Z72" s="154"/>
      <c r="AA72" s="148"/>
    </row>
    <row r="73" spans="1:27" ht="12.75">
      <c r="A73"/>
      <c r="B73"/>
      <c r="C73"/>
      <c r="D73"/>
      <c r="E73"/>
      <c r="F73"/>
      <c r="G73"/>
      <c r="H73"/>
      <c r="I73" s="154"/>
      <c r="J73"/>
      <c r="K73" s="154"/>
      <c r="L73" s="154"/>
      <c r="M73"/>
      <c r="N73"/>
      <c r="O73" s="154"/>
      <c r="P73" s="154"/>
      <c r="Q73"/>
      <c r="R73" s="154"/>
      <c r="S73" s="156"/>
      <c r="T73" s="156"/>
      <c r="U73" s="156"/>
      <c r="V73" s="154"/>
      <c r="W73" s="154"/>
      <c r="X73" s="155"/>
      <c r="Y73" s="155"/>
      <c r="Z73" s="154"/>
      <c r="AA73" s="148"/>
    </row>
    <row r="74" spans="1:27" ht="12.75">
      <c r="A74"/>
      <c r="B74"/>
      <c r="C74"/>
      <c r="D74"/>
      <c r="E74"/>
      <c r="F74"/>
      <c r="G74"/>
      <c r="H74"/>
      <c r="I74" s="154"/>
      <c r="J74"/>
      <c r="K74" s="154"/>
      <c r="L74" s="154"/>
      <c r="M74"/>
      <c r="N74"/>
      <c r="O74" s="154"/>
      <c r="P74" s="154"/>
      <c r="Q74"/>
      <c r="R74" s="154"/>
      <c r="S74" s="156"/>
      <c r="T74" s="156"/>
      <c r="U74" s="156"/>
      <c r="V74" s="154"/>
      <c r="W74" s="154"/>
      <c r="X74" s="155"/>
      <c r="Y74" s="155"/>
      <c r="Z74" s="154"/>
      <c r="AA74" s="148"/>
    </row>
    <row r="75" spans="1:27" ht="12.75">
      <c r="A75"/>
      <c r="B75"/>
      <c r="C75"/>
      <c r="D75"/>
      <c r="E75"/>
      <c r="F75"/>
      <c r="G75"/>
      <c r="H75"/>
      <c r="I75" s="154"/>
      <c r="J75"/>
      <c r="K75" s="154"/>
      <c r="L75" s="154"/>
      <c r="M75"/>
      <c r="N75"/>
      <c r="O75" s="154"/>
      <c r="P75" s="154"/>
      <c r="Q75"/>
      <c r="R75" s="154"/>
      <c r="S75" s="156"/>
      <c r="T75" s="156"/>
      <c r="U75" s="156"/>
      <c r="V75" s="154"/>
      <c r="W75" s="154"/>
      <c r="X75" s="155"/>
      <c r="Y75" s="155"/>
      <c r="Z75" s="154"/>
      <c r="AA75" s="148"/>
    </row>
    <row r="76" spans="1:27" ht="12.75">
      <c r="A76"/>
      <c r="B76"/>
      <c r="C76"/>
      <c r="D76"/>
      <c r="E76"/>
      <c r="F76"/>
      <c r="G76"/>
      <c r="H76"/>
      <c r="I76" s="154"/>
      <c r="J76"/>
      <c r="K76" s="154"/>
      <c r="L76" s="154"/>
      <c r="M76"/>
      <c r="N76"/>
      <c r="O76" s="154"/>
      <c r="P76" s="154"/>
      <c r="Q76"/>
      <c r="R76" s="154"/>
      <c r="S76" s="156"/>
      <c r="T76" s="156"/>
      <c r="U76" s="156"/>
      <c r="V76" s="154"/>
      <c r="W76" s="154"/>
      <c r="X76" s="155"/>
      <c r="Y76" s="155"/>
      <c r="Z76" s="154"/>
      <c r="AA76" s="148"/>
    </row>
    <row r="77" spans="1:27" ht="12.75">
      <c r="A77"/>
      <c r="B77"/>
      <c r="C77"/>
      <c r="D77"/>
      <c r="E77"/>
      <c r="F77"/>
      <c r="G77"/>
      <c r="H77"/>
      <c r="I77" s="154"/>
      <c r="J77"/>
      <c r="K77" s="154"/>
      <c r="L77" s="154"/>
      <c r="M77"/>
      <c r="N77"/>
      <c r="O77" s="154"/>
      <c r="P77" s="154"/>
      <c r="Q77"/>
      <c r="R77" s="154"/>
      <c r="S77" s="156"/>
      <c r="T77" s="156"/>
      <c r="U77" s="156"/>
      <c r="V77" s="154"/>
      <c r="W77" s="154"/>
      <c r="X77" s="155"/>
      <c r="Y77" s="155"/>
      <c r="Z77" s="154"/>
      <c r="AA77" s="148"/>
    </row>
    <row r="78" spans="1:27" ht="12.75">
      <c r="A78"/>
      <c r="B78"/>
      <c r="C78"/>
      <c r="D78"/>
      <c r="E78"/>
      <c r="F78"/>
      <c r="G78"/>
      <c r="H78"/>
      <c r="I78" s="154"/>
      <c r="J78"/>
      <c r="K78" s="154"/>
      <c r="L78" s="154"/>
      <c r="M78"/>
      <c r="N78"/>
      <c r="O78" s="154"/>
      <c r="P78" s="154"/>
      <c r="Q78"/>
      <c r="R78" s="154"/>
      <c r="S78" s="156"/>
      <c r="T78" s="156"/>
      <c r="U78" s="156"/>
      <c r="V78" s="154"/>
      <c r="W78" s="154"/>
      <c r="X78" s="155"/>
      <c r="Y78" s="155"/>
      <c r="Z78" s="154"/>
      <c r="AA78" s="148"/>
    </row>
    <row r="79" spans="1:27" ht="12.75">
      <c r="A79"/>
      <c r="B79"/>
      <c r="C79"/>
      <c r="D79"/>
      <c r="E79"/>
      <c r="F79"/>
      <c r="G79"/>
      <c r="H79"/>
      <c r="I79" s="154"/>
      <c r="J79"/>
      <c r="K79" s="154"/>
      <c r="L79" s="154"/>
      <c r="M79"/>
      <c r="N79"/>
      <c r="O79" s="154"/>
      <c r="P79" s="154"/>
      <c r="Q79"/>
      <c r="R79" s="154"/>
      <c r="S79" s="156"/>
      <c r="T79" s="156"/>
      <c r="U79" s="156"/>
      <c r="V79" s="154"/>
      <c r="W79" s="154"/>
      <c r="X79" s="155"/>
      <c r="Y79" s="155"/>
      <c r="Z79" s="154"/>
      <c r="AA79" s="148"/>
    </row>
    <row r="80" spans="1:27" ht="12.75">
      <c r="A80"/>
      <c r="B80"/>
      <c r="C80"/>
      <c r="D80"/>
      <c r="E80"/>
      <c r="F80"/>
      <c r="G80"/>
      <c r="H80"/>
      <c r="I80" s="154"/>
      <c r="J80"/>
      <c r="K80" s="154"/>
      <c r="L80" s="154"/>
      <c r="M80"/>
      <c r="N80"/>
      <c r="O80" s="154"/>
      <c r="P80" s="154"/>
      <c r="Q80"/>
      <c r="R80" s="154"/>
      <c r="S80" s="156"/>
      <c r="T80" s="156"/>
      <c r="U80" s="156"/>
      <c r="V80" s="154"/>
      <c r="W80" s="154"/>
      <c r="X80" s="155"/>
      <c r="Y80" s="155"/>
      <c r="Z80" s="154"/>
      <c r="AA80" s="148"/>
    </row>
    <row r="81" spans="1:27" ht="12.75">
      <c r="A81"/>
      <c r="B81"/>
      <c r="C81"/>
      <c r="D81"/>
      <c r="E81"/>
      <c r="F81"/>
      <c r="G81"/>
      <c r="H81"/>
      <c r="I81" s="154"/>
      <c r="J81"/>
      <c r="K81" s="154"/>
      <c r="L81" s="154"/>
      <c r="M81"/>
      <c r="N81"/>
      <c r="O81" s="154"/>
      <c r="P81" s="154"/>
      <c r="Q81"/>
      <c r="R81" s="154"/>
      <c r="S81" s="156"/>
      <c r="T81" s="156"/>
      <c r="U81" s="156"/>
      <c r="V81" s="154"/>
      <c r="W81" s="154"/>
      <c r="X81" s="155"/>
      <c r="Y81" s="155"/>
      <c r="Z81" s="154"/>
      <c r="AA81" s="148"/>
    </row>
    <row r="82" spans="1:27" ht="12.75">
      <c r="A82"/>
      <c r="B82"/>
      <c r="C82"/>
      <c r="D82"/>
      <c r="E82"/>
      <c r="F82"/>
      <c r="G82"/>
      <c r="H82"/>
      <c r="I82" s="154"/>
      <c r="J82"/>
      <c r="K82" s="154"/>
      <c r="L82" s="154"/>
      <c r="M82"/>
      <c r="N82"/>
      <c r="O82" s="154"/>
      <c r="P82" s="154"/>
      <c r="Q82"/>
      <c r="R82" s="154"/>
      <c r="S82" s="156"/>
      <c r="T82" s="156"/>
      <c r="U82" s="156"/>
      <c r="V82" s="154"/>
      <c r="W82" s="154"/>
      <c r="X82" s="155"/>
      <c r="Y82" s="155"/>
      <c r="Z82" s="154"/>
      <c r="AA82" s="148"/>
    </row>
    <row r="83" spans="1:27" ht="12.75">
      <c r="A83"/>
      <c r="B83"/>
      <c r="C83"/>
      <c r="D83"/>
      <c r="E83"/>
      <c r="F83"/>
      <c r="G83"/>
      <c r="H83"/>
      <c r="I83" s="154"/>
      <c r="J83"/>
      <c r="K83" s="154"/>
      <c r="L83" s="154"/>
      <c r="M83"/>
      <c r="N83"/>
      <c r="O83" s="154"/>
      <c r="P83" s="154"/>
      <c r="Q83"/>
      <c r="R83" s="154"/>
      <c r="S83" s="156"/>
      <c r="T83" s="156"/>
      <c r="U83" s="156"/>
      <c r="V83" s="154"/>
      <c r="W83" s="154"/>
      <c r="X83" s="155"/>
      <c r="Y83" s="155"/>
      <c r="Z83" s="154"/>
      <c r="AA83" s="148"/>
    </row>
    <row r="84" spans="1:27" ht="12.75">
      <c r="A84"/>
      <c r="B84"/>
      <c r="C84"/>
      <c r="D84"/>
      <c r="E84"/>
      <c r="F84"/>
      <c r="G84"/>
      <c r="H84"/>
      <c r="I84" s="154"/>
      <c r="J84"/>
      <c r="K84" s="154"/>
      <c r="L84" s="154"/>
      <c r="M84"/>
      <c r="N84"/>
      <c r="O84" s="154"/>
      <c r="P84" s="154"/>
      <c r="Q84"/>
      <c r="R84" s="154"/>
      <c r="S84" s="156"/>
      <c r="T84" s="156"/>
      <c r="U84" s="156"/>
      <c r="V84" s="154"/>
      <c r="W84" s="154"/>
      <c r="X84" s="155"/>
      <c r="Y84" s="155"/>
      <c r="Z84" s="154"/>
      <c r="AA84" s="148"/>
    </row>
    <row r="85" spans="1:27" ht="12.75">
      <c r="A85"/>
      <c r="B85"/>
      <c r="C85"/>
      <c r="D85"/>
      <c r="E85"/>
      <c r="F85"/>
      <c r="G85"/>
      <c r="H85"/>
      <c r="I85" s="154"/>
      <c r="J85"/>
      <c r="K85" s="154"/>
      <c r="L85" s="154"/>
      <c r="M85"/>
      <c r="N85"/>
      <c r="O85" s="154"/>
      <c r="P85" s="154"/>
      <c r="Q85"/>
      <c r="R85" s="154"/>
      <c r="S85" s="156"/>
      <c r="T85" s="156"/>
      <c r="U85" s="156"/>
      <c r="V85" s="154"/>
      <c r="W85" s="154"/>
      <c r="X85" s="155"/>
      <c r="Y85" s="155"/>
      <c r="Z85" s="154"/>
      <c r="AA85" s="148"/>
    </row>
    <row r="86" spans="1:27" ht="12.75">
      <c r="A86"/>
      <c r="B86"/>
      <c r="C86"/>
      <c r="D86"/>
      <c r="E86"/>
      <c r="F86"/>
      <c r="G86"/>
      <c r="H86"/>
      <c r="I86" s="154"/>
      <c r="J86"/>
      <c r="K86" s="154"/>
      <c r="L86" s="154"/>
      <c r="M86"/>
      <c r="N86"/>
      <c r="O86" s="154"/>
      <c r="P86" s="154"/>
      <c r="Q86"/>
      <c r="R86" s="154"/>
      <c r="S86" s="156"/>
      <c r="T86" s="156"/>
      <c r="U86" s="156"/>
      <c r="V86" s="154"/>
      <c r="W86" s="154"/>
      <c r="X86" s="155"/>
      <c r="Y86" s="155"/>
      <c r="Z86" s="154"/>
      <c r="AA86" s="148"/>
    </row>
    <row r="87" spans="1:27" ht="12.75">
      <c r="A87"/>
      <c r="B87"/>
      <c r="C87"/>
      <c r="D87"/>
      <c r="E87"/>
      <c r="F87"/>
      <c r="G87"/>
      <c r="H87"/>
      <c r="I87" s="154"/>
      <c r="J87"/>
      <c r="K87" s="154"/>
      <c r="L87" s="154"/>
      <c r="M87"/>
      <c r="N87"/>
      <c r="O87" s="154"/>
      <c r="P87" s="154"/>
      <c r="Q87"/>
      <c r="R87" s="154"/>
      <c r="S87" s="156"/>
      <c r="T87" s="156"/>
      <c r="U87" s="156"/>
      <c r="V87" s="154"/>
      <c r="W87" s="154"/>
      <c r="X87" s="155"/>
      <c r="Y87" s="155"/>
      <c r="Z87" s="154"/>
      <c r="AA87" s="148"/>
    </row>
    <row r="88" spans="1:27" ht="12.75">
      <c r="A88"/>
      <c r="B88"/>
      <c r="C88"/>
      <c r="D88"/>
      <c r="E88"/>
      <c r="F88"/>
      <c r="G88"/>
      <c r="H88"/>
      <c r="I88" s="154"/>
      <c r="J88"/>
      <c r="K88" s="154"/>
      <c r="L88" s="154"/>
      <c r="M88"/>
      <c r="N88"/>
      <c r="O88" s="154"/>
      <c r="P88" s="154"/>
      <c r="Q88"/>
      <c r="R88" s="154"/>
      <c r="S88" s="156"/>
      <c r="T88" s="156"/>
      <c r="U88" s="156"/>
      <c r="V88" s="154"/>
      <c r="W88" s="154"/>
      <c r="X88" s="155"/>
      <c r="Y88" s="155"/>
      <c r="Z88" s="154"/>
      <c r="AA88" s="148"/>
    </row>
    <row r="89" spans="1:27" ht="12.75">
      <c r="A89"/>
      <c r="B89"/>
      <c r="C89"/>
      <c r="D89"/>
      <c r="E89"/>
      <c r="F89"/>
      <c r="G89"/>
      <c r="H89"/>
      <c r="I89" s="154"/>
      <c r="J89"/>
      <c r="K89" s="154"/>
      <c r="L89" s="154"/>
      <c r="M89"/>
      <c r="N89"/>
      <c r="O89" s="154"/>
      <c r="P89" s="154"/>
      <c r="Q89"/>
      <c r="R89" s="154"/>
      <c r="S89" s="156"/>
      <c r="T89" s="156"/>
      <c r="U89" s="156"/>
      <c r="V89" s="154"/>
      <c r="W89" s="154"/>
      <c r="X89" s="155"/>
      <c r="Y89" s="155"/>
      <c r="Z89" s="154"/>
      <c r="AA89" s="148"/>
    </row>
    <row r="90" spans="1:27" ht="12.75">
      <c r="A90"/>
      <c r="B90"/>
      <c r="C90"/>
      <c r="D90"/>
      <c r="E90"/>
      <c r="F90"/>
      <c r="G90"/>
      <c r="H90"/>
      <c r="I90" s="154"/>
      <c r="J90"/>
      <c r="K90" s="154"/>
      <c r="L90" s="154"/>
      <c r="M90"/>
      <c r="N90"/>
      <c r="O90" s="154"/>
      <c r="P90" s="154"/>
      <c r="Q90"/>
      <c r="R90" s="154"/>
      <c r="S90" s="156"/>
      <c r="T90" s="156"/>
      <c r="U90" s="156"/>
      <c r="V90" s="154"/>
      <c r="W90" s="154"/>
      <c r="X90" s="155"/>
      <c r="Y90" s="155"/>
      <c r="Z90" s="154"/>
      <c r="AA90" s="148"/>
    </row>
    <row r="91" spans="1:27" ht="12.75">
      <c r="A91"/>
      <c r="B91"/>
      <c r="C91"/>
      <c r="D91"/>
      <c r="E91"/>
      <c r="F91"/>
      <c r="G91"/>
      <c r="H91"/>
      <c r="I91" s="154"/>
      <c r="J91"/>
      <c r="K91" s="154"/>
      <c r="L91" s="154"/>
      <c r="M91"/>
      <c r="N91"/>
      <c r="O91" s="154"/>
      <c r="P91" s="154"/>
      <c r="Q91"/>
      <c r="R91" s="154"/>
      <c r="S91" s="156"/>
      <c r="T91" s="156"/>
      <c r="U91" s="156"/>
      <c r="V91" s="154"/>
      <c r="W91" s="154"/>
      <c r="X91" s="155"/>
      <c r="Y91" s="155"/>
      <c r="Z91" s="154"/>
      <c r="AA91" s="148"/>
    </row>
    <row r="92" spans="1:27" ht="12.75">
      <c r="A92"/>
      <c r="B92"/>
      <c r="C92"/>
      <c r="D92"/>
      <c r="E92"/>
      <c r="F92"/>
      <c r="G92"/>
      <c r="H92"/>
      <c r="I92" s="154"/>
      <c r="J92"/>
      <c r="K92" s="154"/>
      <c r="L92" s="154"/>
      <c r="M92"/>
      <c r="N92"/>
      <c r="O92" s="154"/>
      <c r="P92" s="154"/>
      <c r="Q92"/>
      <c r="R92" s="154"/>
      <c r="S92" s="156"/>
      <c r="T92" s="156"/>
      <c r="U92" s="156"/>
      <c r="V92" s="154"/>
      <c r="W92" s="154"/>
      <c r="X92" s="155"/>
      <c r="Y92" s="155"/>
      <c r="Z92" s="154"/>
      <c r="AA92" s="148"/>
    </row>
    <row r="93" spans="1:27" ht="12.75">
      <c r="A93"/>
      <c r="B93"/>
      <c r="C93"/>
      <c r="D93"/>
      <c r="E93"/>
      <c r="F93"/>
      <c r="G93"/>
      <c r="H93"/>
      <c r="I93" s="154"/>
      <c r="J93"/>
      <c r="K93" s="154"/>
      <c r="L93" s="154"/>
      <c r="M93"/>
      <c r="N93"/>
      <c r="O93" s="154"/>
      <c r="P93" s="154"/>
      <c r="Q93"/>
      <c r="R93" s="154"/>
      <c r="S93" s="156"/>
      <c r="T93" s="156"/>
      <c r="U93" s="156"/>
      <c r="V93" s="154"/>
      <c r="W93" s="154"/>
      <c r="X93" s="155"/>
      <c r="Y93" s="155"/>
      <c r="Z93" s="154"/>
      <c r="AA93" s="148"/>
    </row>
    <row r="94" spans="1:27" ht="12.75">
      <c r="A94"/>
      <c r="B94"/>
      <c r="C94"/>
      <c r="D94"/>
      <c r="E94"/>
      <c r="F94"/>
      <c r="G94"/>
      <c r="H94"/>
      <c r="I94" s="154"/>
      <c r="J94"/>
      <c r="K94" s="154"/>
      <c r="L94" s="154"/>
      <c r="M94"/>
      <c r="N94"/>
      <c r="O94" s="154"/>
      <c r="P94" s="154"/>
      <c r="Q94"/>
      <c r="R94" s="154"/>
      <c r="S94" s="156"/>
      <c r="T94" s="156"/>
      <c r="U94" s="156"/>
      <c r="V94" s="154"/>
      <c r="W94" s="154"/>
      <c r="X94" s="155"/>
      <c r="Y94" s="155"/>
      <c r="Z94" s="154"/>
      <c r="AA94" s="148"/>
    </row>
    <row r="95" spans="1:27" ht="12.75">
      <c r="A95"/>
      <c r="B95"/>
      <c r="C95"/>
      <c r="D95"/>
      <c r="E95"/>
      <c r="F95"/>
      <c r="G95"/>
      <c r="H95"/>
      <c r="I95" s="154"/>
      <c r="J95"/>
      <c r="K95" s="154"/>
      <c r="L95" s="154"/>
      <c r="M95"/>
      <c r="N95"/>
      <c r="O95" s="154"/>
      <c r="P95" s="154"/>
      <c r="Q95"/>
      <c r="R95" s="154"/>
      <c r="S95" s="156"/>
      <c r="T95" s="156"/>
      <c r="U95" s="156"/>
      <c r="V95" s="154"/>
      <c r="W95" s="154"/>
      <c r="X95" s="155"/>
      <c r="Y95" s="155"/>
      <c r="Z95" s="154"/>
      <c r="AA95" s="148"/>
    </row>
    <row r="96" spans="1:27" ht="12.75">
      <c r="A96"/>
      <c r="B96"/>
      <c r="C96"/>
      <c r="D96"/>
      <c r="E96"/>
      <c r="F96"/>
      <c r="G96"/>
      <c r="H96"/>
      <c r="I96" s="154"/>
      <c r="J96"/>
      <c r="K96" s="154"/>
      <c r="L96" s="154"/>
      <c r="M96"/>
      <c r="N96"/>
      <c r="O96" s="154"/>
      <c r="P96" s="154"/>
      <c r="Q96"/>
      <c r="R96" s="154"/>
      <c r="S96" s="156"/>
      <c r="T96" s="156"/>
      <c r="U96" s="156"/>
      <c r="V96" s="154"/>
      <c r="W96" s="154"/>
      <c r="X96" s="155"/>
      <c r="Y96" s="155"/>
      <c r="Z96" s="154"/>
      <c r="AA96" s="148"/>
    </row>
    <row r="97" spans="1:27" ht="12.75">
      <c r="A97"/>
      <c r="B97"/>
      <c r="C97"/>
      <c r="D97"/>
      <c r="E97"/>
      <c r="F97"/>
      <c r="G97"/>
      <c r="H97"/>
      <c r="I97" s="154"/>
      <c r="J97"/>
      <c r="K97" s="154"/>
      <c r="L97" s="154"/>
      <c r="M97"/>
      <c r="N97"/>
      <c r="O97" s="154"/>
      <c r="P97" s="154"/>
      <c r="Q97"/>
      <c r="R97" s="154"/>
      <c r="S97" s="156"/>
      <c r="T97" s="156"/>
      <c r="U97" s="156"/>
      <c r="V97" s="154"/>
      <c r="W97" s="154"/>
      <c r="X97" s="155"/>
      <c r="Y97" s="155"/>
      <c r="Z97" s="154"/>
      <c r="AA97" s="148"/>
    </row>
    <row r="98" spans="1:27" ht="12.75">
      <c r="A98"/>
      <c r="B98"/>
      <c r="C98"/>
      <c r="D98"/>
      <c r="E98"/>
      <c r="F98"/>
      <c r="G98"/>
      <c r="H98"/>
      <c r="I98" s="154"/>
      <c r="J98"/>
      <c r="K98" s="154"/>
      <c r="L98" s="154"/>
      <c r="M98"/>
      <c r="N98"/>
      <c r="O98" s="154"/>
      <c r="P98" s="154"/>
      <c r="Q98"/>
      <c r="R98" s="154"/>
      <c r="S98" s="156"/>
      <c r="T98" s="156"/>
      <c r="U98" s="156"/>
      <c r="V98" s="154"/>
      <c r="W98" s="154"/>
      <c r="X98" s="155"/>
      <c r="Y98" s="155"/>
      <c r="Z98" s="154"/>
      <c r="AA98" s="148"/>
    </row>
    <row r="99" spans="1:27" ht="12.75">
      <c r="A99"/>
      <c r="B99"/>
      <c r="C99"/>
      <c r="D99"/>
      <c r="E99"/>
      <c r="F99"/>
      <c r="G99"/>
      <c r="H99"/>
      <c r="I99" s="154"/>
      <c r="J99"/>
      <c r="K99" s="154"/>
      <c r="L99" s="154"/>
      <c r="M99"/>
      <c r="N99"/>
      <c r="O99" s="154"/>
      <c r="P99" s="154"/>
      <c r="Q99"/>
      <c r="R99" s="154"/>
      <c r="S99" s="156"/>
      <c r="T99" s="156"/>
      <c r="U99" s="156"/>
      <c r="V99" s="154"/>
      <c r="W99" s="154"/>
      <c r="X99" s="155"/>
      <c r="Y99" s="155"/>
      <c r="Z99" s="154"/>
      <c r="AA99" s="148"/>
    </row>
    <row r="100" spans="1:27" ht="12.75">
      <c r="A100"/>
      <c r="B100"/>
      <c r="C100"/>
      <c r="D100"/>
      <c r="E100"/>
      <c r="F100"/>
      <c r="G100"/>
      <c r="H100"/>
      <c r="I100" s="154"/>
      <c r="J100"/>
      <c r="K100" s="154"/>
      <c r="L100" s="154"/>
      <c r="M100"/>
      <c r="N100"/>
      <c r="O100" s="154"/>
      <c r="P100" s="154"/>
      <c r="Q100"/>
      <c r="R100" s="154"/>
      <c r="S100" s="156"/>
      <c r="T100" s="156"/>
      <c r="U100" s="156"/>
      <c r="V100" s="154"/>
      <c r="W100" s="154"/>
      <c r="X100" s="155"/>
      <c r="Y100" s="155"/>
      <c r="Z100" s="154"/>
      <c r="AA100" s="148"/>
    </row>
    <row r="101" spans="1:27" ht="12.75">
      <c r="A101"/>
      <c r="B101"/>
      <c r="C101"/>
      <c r="D101"/>
      <c r="E101"/>
      <c r="F101"/>
      <c r="G101"/>
      <c r="H101"/>
      <c r="I101" s="154"/>
      <c r="J101"/>
      <c r="K101" s="154"/>
      <c r="L101" s="154"/>
      <c r="M101"/>
      <c r="N101"/>
      <c r="O101" s="154"/>
      <c r="P101" s="154"/>
      <c r="Q101"/>
      <c r="R101" s="154"/>
      <c r="S101" s="156"/>
      <c r="T101" s="156"/>
      <c r="U101" s="156"/>
      <c r="V101" s="154"/>
      <c r="W101" s="154"/>
      <c r="X101" s="155"/>
      <c r="Y101" s="155"/>
      <c r="Z101" s="154"/>
      <c r="AA101" s="148"/>
    </row>
    <row r="102" spans="1:27" ht="12.75">
      <c r="A102"/>
      <c r="B102"/>
      <c r="C102"/>
      <c r="D102"/>
      <c r="E102"/>
      <c r="F102"/>
      <c r="G102"/>
      <c r="H102"/>
      <c r="I102" s="154"/>
      <c r="J102"/>
      <c r="K102" s="154"/>
      <c r="L102" s="154"/>
      <c r="M102"/>
      <c r="N102"/>
      <c r="O102" s="154"/>
      <c r="P102" s="154"/>
      <c r="Q102"/>
      <c r="R102" s="154"/>
      <c r="S102" s="156"/>
      <c r="T102" s="156"/>
      <c r="U102" s="156"/>
      <c r="V102" s="154"/>
      <c r="W102" s="154"/>
      <c r="X102" s="155"/>
      <c r="Y102" s="155"/>
      <c r="Z102" s="154"/>
      <c r="AA102" s="148"/>
    </row>
    <row r="103" spans="1:27" ht="12.75">
      <c r="A103"/>
      <c r="B103"/>
      <c r="C103"/>
      <c r="D103"/>
      <c r="E103"/>
      <c r="F103"/>
      <c r="G103"/>
      <c r="H103"/>
      <c r="I103" s="154"/>
      <c r="J103"/>
      <c r="K103" s="154"/>
      <c r="L103" s="154"/>
      <c r="M103"/>
      <c r="N103"/>
      <c r="O103" s="154"/>
      <c r="P103" s="154"/>
      <c r="Q103"/>
      <c r="R103" s="154"/>
      <c r="S103" s="156"/>
      <c r="T103" s="156"/>
      <c r="U103" s="156"/>
      <c r="V103" s="154"/>
      <c r="W103" s="154"/>
      <c r="X103" s="155"/>
      <c r="Y103" s="155"/>
      <c r="Z103" s="154"/>
      <c r="AA103" s="148"/>
    </row>
    <row r="104" spans="1:27" ht="12.75">
      <c r="A104"/>
      <c r="B104"/>
      <c r="C104"/>
      <c r="D104"/>
      <c r="E104"/>
      <c r="F104"/>
      <c r="G104"/>
      <c r="H104"/>
      <c r="I104" s="154"/>
      <c r="J104"/>
      <c r="K104" s="154"/>
      <c r="L104" s="154"/>
      <c r="M104"/>
      <c r="N104"/>
      <c r="O104" s="154"/>
      <c r="P104" s="154"/>
      <c r="Q104"/>
      <c r="R104" s="154"/>
      <c r="S104" s="156"/>
      <c r="T104" s="156"/>
      <c r="U104" s="156"/>
      <c r="V104" s="154"/>
      <c r="W104" s="154"/>
      <c r="X104" s="155"/>
      <c r="Y104" s="155"/>
      <c r="Z104" s="154"/>
      <c r="AA104" s="148"/>
    </row>
    <row r="105" spans="1:27" ht="12.75">
      <c r="A105"/>
      <c r="B105"/>
      <c r="C105"/>
      <c r="D105"/>
      <c r="E105"/>
      <c r="F105"/>
      <c r="G105"/>
      <c r="H105"/>
      <c r="I105" s="154"/>
      <c r="J105"/>
      <c r="K105" s="154"/>
      <c r="L105" s="154"/>
      <c r="M105"/>
      <c r="N105"/>
      <c r="O105" s="154"/>
      <c r="P105" s="154"/>
      <c r="Q105"/>
      <c r="R105" s="154"/>
      <c r="S105" s="156"/>
      <c r="T105" s="156"/>
      <c r="U105" s="156"/>
      <c r="V105" s="154"/>
      <c r="W105" s="154"/>
      <c r="X105" s="155"/>
      <c r="Y105" s="155"/>
      <c r="Z105" s="154"/>
      <c r="AA105" s="148"/>
    </row>
    <row r="106" spans="1:27" ht="12.75">
      <c r="A106"/>
      <c r="B106"/>
      <c r="C106"/>
      <c r="D106"/>
      <c r="E106"/>
      <c r="F106"/>
      <c r="G106"/>
      <c r="H106"/>
      <c r="I106" s="154"/>
      <c r="J106"/>
      <c r="K106" s="154"/>
      <c r="L106" s="154"/>
      <c r="M106"/>
      <c r="N106"/>
      <c r="O106" s="154"/>
      <c r="P106" s="154"/>
      <c r="Q106"/>
      <c r="R106" s="154"/>
      <c r="S106" s="156"/>
      <c r="T106" s="156"/>
      <c r="U106" s="156"/>
      <c r="V106" s="154"/>
      <c r="W106" s="154"/>
      <c r="X106" s="155"/>
      <c r="Y106" s="155"/>
      <c r="Z106" s="154"/>
      <c r="AA106" s="148"/>
    </row>
    <row r="107" spans="1:27" ht="12.75">
      <c r="A107"/>
      <c r="B107"/>
      <c r="C107"/>
      <c r="D107"/>
      <c r="E107"/>
      <c r="F107"/>
      <c r="G107"/>
      <c r="H107"/>
      <c r="I107" s="154"/>
      <c r="J107"/>
      <c r="K107" s="154"/>
      <c r="L107" s="154"/>
      <c r="M107"/>
      <c r="N107"/>
      <c r="O107" s="154"/>
      <c r="P107" s="154"/>
      <c r="Q107"/>
      <c r="R107" s="154"/>
      <c r="S107" s="156"/>
      <c r="T107" s="156"/>
      <c r="U107" s="156"/>
      <c r="V107" s="154"/>
      <c r="W107" s="154"/>
      <c r="X107" s="155"/>
      <c r="Y107" s="155"/>
      <c r="Z107" s="154"/>
      <c r="AA107" s="148"/>
    </row>
    <row r="108" spans="1:27" ht="12.75">
      <c r="A108"/>
      <c r="B108"/>
      <c r="C108"/>
      <c r="D108"/>
      <c r="E108"/>
      <c r="F108"/>
      <c r="G108"/>
      <c r="H108"/>
      <c r="I108" s="154"/>
      <c r="J108"/>
      <c r="K108" s="154"/>
      <c r="L108" s="154"/>
      <c r="M108"/>
      <c r="N108"/>
      <c r="O108" s="154"/>
      <c r="P108" s="154"/>
      <c r="Q108"/>
      <c r="R108" s="154"/>
      <c r="S108" s="156"/>
      <c r="T108" s="156"/>
      <c r="U108" s="156"/>
      <c r="V108" s="154"/>
      <c r="W108" s="154"/>
      <c r="X108" s="155"/>
      <c r="Y108" s="155"/>
      <c r="Z108" s="154"/>
      <c r="AA108" s="148"/>
    </row>
    <row r="109" spans="1:27" ht="12.75">
      <c r="A109"/>
      <c r="B109"/>
      <c r="C109"/>
      <c r="D109"/>
      <c r="E109"/>
      <c r="F109"/>
      <c r="G109"/>
      <c r="H109"/>
      <c r="I109" s="154"/>
      <c r="J109"/>
      <c r="K109" s="154"/>
      <c r="L109" s="154"/>
      <c r="M109"/>
      <c r="N109"/>
      <c r="O109" s="154"/>
      <c r="P109" s="154"/>
      <c r="Q109"/>
      <c r="R109" s="154"/>
      <c r="S109" s="156"/>
      <c r="T109" s="156"/>
      <c r="U109" s="156"/>
      <c r="V109" s="154"/>
      <c r="W109" s="154"/>
      <c r="X109" s="155"/>
      <c r="Y109" s="155"/>
      <c r="Z109" s="154"/>
      <c r="AA109" s="148"/>
    </row>
    <row r="110" spans="1:27" ht="12.75">
      <c r="A110"/>
      <c r="B110"/>
      <c r="C110"/>
      <c r="D110"/>
      <c r="E110"/>
      <c r="F110"/>
      <c r="G110"/>
      <c r="H110"/>
      <c r="I110" s="154"/>
      <c r="J110"/>
      <c r="K110" s="154"/>
      <c r="L110" s="154"/>
      <c r="M110"/>
      <c r="N110"/>
      <c r="O110" s="154"/>
      <c r="P110" s="154"/>
      <c r="Q110"/>
      <c r="R110" s="154"/>
      <c r="S110" s="156"/>
      <c r="T110" s="156"/>
      <c r="U110" s="156"/>
      <c r="V110" s="154"/>
      <c r="W110" s="154"/>
      <c r="X110" s="155"/>
      <c r="Y110" s="155"/>
      <c r="Z110" s="154"/>
      <c r="AA110" s="148"/>
    </row>
    <row r="111" spans="1:27" ht="12.75">
      <c r="A111"/>
      <c r="B111"/>
      <c r="C111"/>
      <c r="D111"/>
      <c r="E111"/>
      <c r="F111"/>
      <c r="G111"/>
      <c r="H111"/>
      <c r="I111" s="154"/>
      <c r="J111"/>
      <c r="K111" s="154"/>
      <c r="L111" s="154"/>
      <c r="M111"/>
      <c r="N111"/>
      <c r="O111" s="154"/>
      <c r="P111" s="154"/>
      <c r="Q111"/>
      <c r="R111" s="154"/>
      <c r="S111" s="156"/>
      <c r="T111" s="156"/>
      <c r="U111" s="156"/>
      <c r="V111" s="154"/>
      <c r="W111" s="154"/>
      <c r="X111" s="155"/>
      <c r="Y111" s="155"/>
      <c r="Z111" s="154"/>
      <c r="AA111" s="148"/>
    </row>
    <row r="112" spans="1:27" ht="12.75">
      <c r="A112"/>
      <c r="B112"/>
      <c r="C112"/>
      <c r="D112"/>
      <c r="E112"/>
      <c r="F112"/>
      <c r="G112"/>
      <c r="H112"/>
      <c r="I112" s="154"/>
      <c r="J112"/>
      <c r="K112" s="154"/>
      <c r="L112" s="154"/>
      <c r="M112"/>
      <c r="N112"/>
      <c r="O112" s="154"/>
      <c r="P112" s="154"/>
      <c r="Q112"/>
      <c r="R112" s="154"/>
      <c r="S112" s="156"/>
      <c r="T112" s="156"/>
      <c r="U112" s="156"/>
      <c r="V112" s="154"/>
      <c r="W112" s="154"/>
      <c r="X112" s="155"/>
      <c r="Y112" s="155"/>
      <c r="Z112" s="154"/>
      <c r="AA112" s="148"/>
    </row>
    <row r="113" spans="1:27" ht="12.75">
      <c r="A113"/>
      <c r="B113"/>
      <c r="C113"/>
      <c r="D113"/>
      <c r="E113"/>
      <c r="F113"/>
      <c r="G113"/>
      <c r="H113"/>
      <c r="I113" s="154"/>
      <c r="J113"/>
      <c r="K113" s="154"/>
      <c r="L113" s="154"/>
      <c r="M113"/>
      <c r="N113"/>
      <c r="O113" s="154"/>
      <c r="P113" s="154"/>
      <c r="Q113"/>
      <c r="R113" s="154"/>
      <c r="S113" s="156"/>
      <c r="T113" s="156"/>
      <c r="U113" s="156"/>
      <c r="V113" s="154"/>
      <c r="W113" s="154"/>
      <c r="X113" s="155"/>
      <c r="Y113" s="155"/>
      <c r="Z113" s="154"/>
      <c r="AA113" s="148"/>
    </row>
    <row r="114" spans="1:27" ht="12.75">
      <c r="A114"/>
      <c r="B114"/>
      <c r="C114"/>
      <c r="D114"/>
      <c r="E114"/>
      <c r="F114"/>
      <c r="G114"/>
      <c r="H114"/>
      <c r="I114" s="154"/>
      <c r="J114"/>
      <c r="K114" s="154"/>
      <c r="L114" s="154"/>
      <c r="M114"/>
      <c r="N114"/>
      <c r="O114" s="154"/>
      <c r="P114" s="154"/>
      <c r="Q114"/>
      <c r="R114" s="154"/>
      <c r="S114" s="156"/>
      <c r="T114" s="156"/>
      <c r="U114" s="156"/>
      <c r="V114" s="154"/>
      <c r="W114" s="154"/>
      <c r="X114" s="155"/>
      <c r="Y114" s="155"/>
      <c r="Z114" s="154"/>
      <c r="AA114" s="148"/>
    </row>
    <row r="115" spans="1:27" ht="12.75">
      <c r="A115"/>
      <c r="B115"/>
      <c r="C115"/>
      <c r="D115"/>
      <c r="E115"/>
      <c r="F115"/>
      <c r="G115"/>
      <c r="H115"/>
      <c r="I115" s="154"/>
      <c r="J115"/>
      <c r="K115" s="154"/>
      <c r="L115" s="154"/>
      <c r="M115"/>
      <c r="N115"/>
      <c r="O115" s="154"/>
      <c r="P115" s="154"/>
      <c r="Q115"/>
      <c r="R115" s="154"/>
      <c r="S115" s="156"/>
      <c r="T115" s="156"/>
      <c r="U115" s="156"/>
      <c r="V115" s="154"/>
      <c r="W115" s="154"/>
      <c r="X115" s="155"/>
      <c r="Y115" s="155"/>
      <c r="Z115" s="154"/>
      <c r="AA115" s="148"/>
    </row>
    <row r="116" spans="1:27" ht="12.75">
      <c r="A116"/>
      <c r="B116"/>
      <c r="C116"/>
      <c r="D116"/>
      <c r="E116"/>
      <c r="F116"/>
      <c r="G116"/>
      <c r="H116"/>
      <c r="I116" s="154"/>
      <c r="J116"/>
      <c r="K116" s="154"/>
      <c r="L116" s="154"/>
      <c r="M116"/>
      <c r="N116"/>
      <c r="O116" s="154"/>
      <c r="P116" s="154"/>
      <c r="Q116"/>
      <c r="R116" s="154"/>
      <c r="S116" s="156"/>
      <c r="T116" s="156"/>
      <c r="U116" s="156"/>
      <c r="V116" s="154"/>
      <c r="W116" s="154"/>
      <c r="X116" s="155"/>
      <c r="Y116" s="155"/>
      <c r="Z116" s="154"/>
      <c r="AA116" s="148"/>
    </row>
    <row r="117" spans="1:27" ht="12.75">
      <c r="A117"/>
      <c r="B117"/>
      <c r="C117"/>
      <c r="D117"/>
      <c r="E117"/>
      <c r="F117"/>
      <c r="G117"/>
      <c r="H117"/>
      <c r="I117" s="154"/>
      <c r="J117"/>
      <c r="K117" s="154"/>
      <c r="L117" s="154"/>
      <c r="M117"/>
      <c r="N117"/>
      <c r="O117" s="154"/>
      <c r="P117" s="154"/>
      <c r="Q117"/>
      <c r="R117" s="154"/>
      <c r="S117" s="156"/>
      <c r="T117" s="156"/>
      <c r="U117" s="156"/>
      <c r="V117" s="154"/>
      <c r="W117" s="154"/>
      <c r="X117" s="155"/>
      <c r="Y117" s="155"/>
      <c r="Z117" s="154"/>
      <c r="AA117" s="148"/>
    </row>
    <row r="118" spans="1:27" ht="12.75">
      <c r="A118"/>
      <c r="B118"/>
      <c r="C118"/>
      <c r="D118"/>
      <c r="E118"/>
      <c r="F118"/>
      <c r="G118"/>
      <c r="H118"/>
      <c r="I118" s="154"/>
      <c r="J118"/>
      <c r="K118" s="154"/>
      <c r="L118" s="154"/>
      <c r="M118"/>
      <c r="N118"/>
      <c r="O118" s="154"/>
      <c r="P118" s="154"/>
      <c r="Q118"/>
      <c r="R118" s="154"/>
      <c r="S118" s="156"/>
      <c r="T118" s="156"/>
      <c r="U118" s="156"/>
      <c r="V118" s="154"/>
      <c r="W118" s="154"/>
      <c r="X118" s="155"/>
      <c r="Y118" s="155"/>
      <c r="Z118" s="154"/>
      <c r="AA118" s="148"/>
    </row>
    <row r="119" spans="1:27" ht="12.75">
      <c r="A119"/>
      <c r="B119"/>
      <c r="C119"/>
      <c r="D119"/>
      <c r="E119"/>
      <c r="F119"/>
      <c r="G119"/>
      <c r="H119"/>
      <c r="I119" s="154"/>
      <c r="J119"/>
      <c r="K119" s="154"/>
      <c r="L119" s="154"/>
      <c r="M119"/>
      <c r="N119"/>
      <c r="O119" s="154"/>
      <c r="P119" s="154"/>
      <c r="Q119"/>
      <c r="R119" s="154"/>
      <c r="S119" s="156"/>
      <c r="T119" s="156"/>
      <c r="U119" s="156"/>
      <c r="V119" s="154"/>
      <c r="W119" s="154"/>
      <c r="X119" s="155"/>
      <c r="Y119" s="155"/>
      <c r="Z119" s="154"/>
      <c r="AA119" s="148"/>
    </row>
    <row r="120" spans="1:27" ht="12.75">
      <c r="A120"/>
      <c r="B120"/>
      <c r="C120"/>
      <c r="D120"/>
      <c r="E120"/>
      <c r="F120"/>
      <c r="G120"/>
      <c r="H120"/>
      <c r="I120" s="154"/>
      <c r="J120"/>
      <c r="K120" s="154"/>
      <c r="L120" s="154"/>
      <c r="M120"/>
      <c r="N120"/>
      <c r="O120" s="154"/>
      <c r="P120" s="154"/>
      <c r="Q120"/>
      <c r="R120" s="154"/>
      <c r="S120" s="156"/>
      <c r="T120" s="156"/>
      <c r="U120" s="156"/>
      <c r="V120" s="154"/>
      <c r="W120" s="154"/>
      <c r="X120" s="155"/>
      <c r="Y120" s="155"/>
      <c r="Z120" s="154"/>
      <c r="AA120" s="148"/>
    </row>
    <row r="121" spans="1:27" ht="12.75">
      <c r="A121"/>
      <c r="B121"/>
      <c r="C121"/>
      <c r="D121"/>
      <c r="E121"/>
      <c r="F121"/>
      <c r="G121"/>
      <c r="H121"/>
      <c r="I121" s="154"/>
      <c r="J121"/>
      <c r="K121" s="154"/>
      <c r="L121" s="154"/>
      <c r="M121"/>
      <c r="N121"/>
      <c r="O121" s="154"/>
      <c r="P121" s="154"/>
      <c r="Q121"/>
      <c r="R121" s="154"/>
      <c r="S121" s="156"/>
      <c r="T121" s="156"/>
      <c r="U121" s="156"/>
      <c r="V121" s="154"/>
      <c r="W121" s="154"/>
      <c r="X121" s="155"/>
      <c r="Y121" s="155"/>
      <c r="Z121" s="154"/>
      <c r="AA121" s="148"/>
    </row>
    <row r="122" spans="1:27" ht="12.75">
      <c r="A122"/>
      <c r="B122"/>
      <c r="C122"/>
      <c r="D122"/>
      <c r="E122"/>
      <c r="F122"/>
      <c r="G122"/>
      <c r="H122"/>
      <c r="I122" s="154"/>
      <c r="J122"/>
      <c r="K122" s="154"/>
      <c r="L122" s="154"/>
      <c r="M122"/>
      <c r="N122"/>
      <c r="O122" s="154"/>
      <c r="P122" s="154"/>
      <c r="Q122"/>
      <c r="R122" s="154"/>
      <c r="S122" s="156"/>
      <c r="T122" s="156"/>
      <c r="U122" s="156"/>
      <c r="V122" s="154"/>
      <c r="W122" s="154"/>
      <c r="X122" s="155"/>
      <c r="Y122" s="155"/>
      <c r="Z122" s="154"/>
      <c r="AA122" s="148"/>
    </row>
    <row r="123" spans="1:27" ht="12.75">
      <c r="A123"/>
      <c r="B123"/>
      <c r="C123"/>
      <c r="D123"/>
      <c r="E123"/>
      <c r="F123"/>
      <c r="G123"/>
      <c r="H123"/>
      <c r="I123" s="154"/>
      <c r="J123"/>
      <c r="K123" s="154"/>
      <c r="L123" s="154"/>
      <c r="M123"/>
      <c r="N123"/>
      <c r="O123" s="154"/>
      <c r="P123" s="154"/>
      <c r="Q123"/>
      <c r="R123" s="154"/>
      <c r="S123" s="156"/>
      <c r="T123" s="156"/>
      <c r="U123" s="156"/>
      <c r="V123" s="154"/>
      <c r="W123" s="154"/>
      <c r="X123" s="155"/>
      <c r="Y123" s="155"/>
      <c r="Z123" s="154"/>
      <c r="AA123" s="148"/>
    </row>
    <row r="124" spans="1:27" ht="12.75">
      <c r="A124"/>
      <c r="B124"/>
      <c r="C124"/>
      <c r="D124"/>
      <c r="E124"/>
      <c r="F124"/>
      <c r="G124"/>
      <c r="H124"/>
      <c r="I124" s="154"/>
      <c r="J124"/>
      <c r="K124" s="154"/>
      <c r="L124" s="154"/>
      <c r="M124"/>
      <c r="N124"/>
      <c r="O124" s="154"/>
      <c r="P124" s="154"/>
      <c r="Q124"/>
      <c r="R124" s="154"/>
      <c r="S124" s="156"/>
      <c r="T124" s="156"/>
      <c r="U124" s="156"/>
      <c r="V124" s="154"/>
      <c r="W124" s="154"/>
      <c r="X124" s="155"/>
      <c r="Y124" s="155"/>
      <c r="Z124" s="154"/>
      <c r="AA124" s="148"/>
    </row>
    <row r="125" spans="1:27" ht="12.75">
      <c r="A125"/>
      <c r="B125"/>
      <c r="C125"/>
      <c r="D125"/>
      <c r="E125"/>
      <c r="F125"/>
      <c r="G125"/>
      <c r="H125"/>
      <c r="I125" s="154"/>
      <c r="J125"/>
      <c r="K125" s="154"/>
      <c r="L125" s="154"/>
      <c r="M125"/>
      <c r="N125"/>
      <c r="O125" s="154"/>
      <c r="P125" s="154"/>
      <c r="Q125"/>
      <c r="R125" s="154"/>
      <c r="S125" s="156"/>
      <c r="T125" s="156"/>
      <c r="U125" s="156"/>
      <c r="V125" s="154"/>
      <c r="W125" s="154"/>
      <c r="X125" s="155"/>
      <c r="Y125" s="155"/>
      <c r="Z125" s="154"/>
      <c r="AA125" s="148"/>
    </row>
    <row r="126" spans="1:27" ht="12.75">
      <c r="A126"/>
      <c r="B126"/>
      <c r="C126"/>
      <c r="D126"/>
      <c r="E126"/>
      <c r="F126"/>
      <c r="G126"/>
      <c r="H126"/>
      <c r="I126" s="154"/>
      <c r="J126"/>
      <c r="K126" s="154"/>
      <c r="L126" s="154"/>
      <c r="M126"/>
      <c r="N126"/>
      <c r="O126" s="154"/>
      <c r="P126" s="154"/>
      <c r="Q126"/>
      <c r="R126" s="154"/>
      <c r="S126" s="156"/>
      <c r="T126" s="156"/>
      <c r="U126" s="156"/>
      <c r="V126" s="154"/>
      <c r="W126" s="154"/>
      <c r="X126" s="155"/>
      <c r="Y126" s="155"/>
      <c r="Z126" s="154"/>
      <c r="AA126" s="148"/>
    </row>
    <row r="127" spans="1:27" ht="12.75">
      <c r="A127"/>
      <c r="B127"/>
      <c r="C127"/>
      <c r="D127"/>
      <c r="E127"/>
      <c r="F127"/>
      <c r="G127"/>
      <c r="H127"/>
      <c r="I127" s="154"/>
      <c r="J127"/>
      <c r="K127" s="154"/>
      <c r="L127" s="154"/>
      <c r="M127"/>
      <c r="N127"/>
      <c r="O127" s="154"/>
      <c r="P127" s="154"/>
      <c r="Q127"/>
      <c r="R127" s="154"/>
      <c r="S127" s="156"/>
      <c r="T127" s="156"/>
      <c r="U127" s="156"/>
      <c r="V127" s="154"/>
      <c r="W127" s="154"/>
      <c r="X127" s="155"/>
      <c r="Y127" s="155"/>
      <c r="Z127" s="154"/>
      <c r="AA127" s="148"/>
    </row>
    <row r="128" spans="1:27" ht="12.75">
      <c r="A128"/>
      <c r="B128"/>
      <c r="C128"/>
      <c r="D128"/>
      <c r="E128"/>
      <c r="F128"/>
      <c r="G128"/>
      <c r="H128"/>
      <c r="I128" s="154"/>
      <c r="J128"/>
      <c r="K128" s="154"/>
      <c r="L128" s="154"/>
      <c r="M128"/>
      <c r="N128"/>
      <c r="O128" s="154"/>
      <c r="P128" s="154"/>
      <c r="Q128"/>
      <c r="R128" s="154"/>
      <c r="S128" s="156"/>
      <c r="T128" s="156"/>
      <c r="U128" s="156"/>
      <c r="V128" s="154"/>
      <c r="W128" s="154"/>
      <c r="X128" s="155"/>
      <c r="Y128" s="155"/>
      <c r="Z128" s="154"/>
      <c r="AA128" s="148"/>
    </row>
    <row r="129" spans="1:27" ht="12.75">
      <c r="A129"/>
      <c r="B129"/>
      <c r="C129"/>
      <c r="D129"/>
      <c r="E129"/>
      <c r="F129"/>
      <c r="G129"/>
      <c r="H129"/>
      <c r="I129" s="154"/>
      <c r="J129"/>
      <c r="K129" s="154"/>
      <c r="L129" s="154"/>
      <c r="M129"/>
      <c r="N129"/>
      <c r="O129" s="154"/>
      <c r="P129" s="154"/>
      <c r="Q129"/>
      <c r="R129" s="154"/>
      <c r="S129" s="156"/>
      <c r="T129" s="156"/>
      <c r="U129" s="156"/>
      <c r="V129" s="154"/>
      <c r="W129" s="154"/>
      <c r="X129" s="155"/>
      <c r="Y129" s="155"/>
      <c r="Z129" s="154"/>
      <c r="AA129" s="148"/>
    </row>
    <row r="130" spans="1:27" ht="12.75">
      <c r="A130"/>
      <c r="B130"/>
      <c r="C130"/>
      <c r="D130"/>
      <c r="E130"/>
      <c r="F130"/>
      <c r="G130"/>
      <c r="H130"/>
      <c r="I130" s="154"/>
      <c r="J130"/>
      <c r="K130" s="154"/>
      <c r="L130" s="154"/>
      <c r="M130"/>
      <c r="N130"/>
      <c r="O130" s="154"/>
      <c r="P130" s="154"/>
      <c r="Q130"/>
      <c r="R130" s="154"/>
      <c r="S130" s="156"/>
      <c r="T130" s="156"/>
      <c r="U130" s="156"/>
      <c r="V130" s="154"/>
      <c r="W130" s="154"/>
      <c r="X130" s="155"/>
      <c r="Y130" s="155"/>
      <c r="Z130" s="154"/>
      <c r="AA130" s="148"/>
    </row>
    <row r="131" spans="1:27" ht="12.75">
      <c r="A131"/>
      <c r="B131"/>
      <c r="C131"/>
      <c r="D131"/>
      <c r="E131"/>
      <c r="F131"/>
      <c r="G131"/>
      <c r="H131"/>
      <c r="I131" s="154"/>
      <c r="J131"/>
      <c r="K131" s="154"/>
      <c r="L131" s="154"/>
      <c r="M131"/>
      <c r="N131"/>
      <c r="O131" s="154"/>
      <c r="P131" s="154"/>
      <c r="Q131"/>
      <c r="R131" s="154"/>
      <c r="S131" s="156"/>
      <c r="T131" s="156"/>
      <c r="U131" s="156"/>
      <c r="V131" s="154"/>
      <c r="W131" s="154"/>
      <c r="X131" s="155"/>
      <c r="Y131" s="155"/>
      <c r="Z131" s="154"/>
      <c r="AA131" s="148"/>
    </row>
    <row r="132" spans="1:27" ht="12.75">
      <c r="A132"/>
      <c r="B132"/>
      <c r="C132"/>
      <c r="D132"/>
      <c r="E132"/>
      <c r="F132"/>
      <c r="G132"/>
      <c r="H132"/>
      <c r="I132" s="154"/>
      <c r="J132"/>
      <c r="K132" s="154"/>
      <c r="L132" s="154"/>
      <c r="M132"/>
      <c r="N132"/>
      <c r="O132" s="154"/>
      <c r="P132" s="154"/>
      <c r="Q132"/>
      <c r="R132" s="154"/>
      <c r="S132" s="156"/>
      <c r="T132" s="156"/>
      <c r="U132" s="156"/>
      <c r="V132" s="154"/>
      <c r="W132" s="154"/>
      <c r="X132" s="155"/>
      <c r="Y132" s="155"/>
      <c r="Z132" s="154"/>
      <c r="AA132" s="148"/>
    </row>
    <row r="133" spans="1:27" ht="12.75">
      <c r="A133"/>
      <c r="B133"/>
      <c r="C133"/>
      <c r="D133"/>
      <c r="E133"/>
      <c r="F133"/>
      <c r="G133"/>
      <c r="H133"/>
      <c r="I133" s="154"/>
      <c r="J133"/>
      <c r="K133" s="154"/>
      <c r="L133" s="154"/>
      <c r="M133"/>
      <c r="N133"/>
      <c r="O133" s="154"/>
      <c r="P133" s="154"/>
      <c r="Q133"/>
      <c r="R133" s="154"/>
      <c r="S133" s="156"/>
      <c r="T133" s="156"/>
      <c r="U133" s="156"/>
      <c r="V133" s="154"/>
      <c r="W133" s="154"/>
      <c r="X133" s="155"/>
      <c r="Y133" s="155"/>
      <c r="Z133" s="154"/>
      <c r="AA133" s="148"/>
    </row>
    <row r="134" spans="1:27" ht="12.75">
      <c r="A134"/>
      <c r="B134"/>
      <c r="C134"/>
      <c r="D134"/>
      <c r="E134"/>
      <c r="F134"/>
      <c r="G134"/>
      <c r="H134"/>
      <c r="I134" s="154"/>
      <c r="J134"/>
      <c r="K134" s="154"/>
      <c r="L134" s="154"/>
      <c r="M134"/>
      <c r="N134"/>
      <c r="O134" s="154"/>
      <c r="P134" s="154"/>
      <c r="Q134"/>
      <c r="R134" s="154"/>
      <c r="S134" s="156"/>
      <c r="T134" s="156"/>
      <c r="U134" s="156"/>
      <c r="V134" s="154"/>
      <c r="W134" s="154"/>
      <c r="X134" s="155"/>
      <c r="Y134" s="155"/>
      <c r="Z134" s="154"/>
      <c r="AA134" s="148"/>
    </row>
    <row r="135" spans="1:27" ht="12.75">
      <c r="A135"/>
      <c r="B135"/>
      <c r="C135"/>
      <c r="D135"/>
      <c r="E135"/>
      <c r="F135"/>
      <c r="G135"/>
      <c r="H135"/>
      <c r="I135" s="154"/>
      <c r="J135"/>
      <c r="K135" s="154"/>
      <c r="L135" s="154"/>
      <c r="M135"/>
      <c r="N135"/>
      <c r="O135" s="154"/>
      <c r="P135" s="154"/>
      <c r="Q135"/>
      <c r="R135" s="154"/>
      <c r="S135" s="156"/>
      <c r="T135" s="156"/>
      <c r="U135" s="156"/>
      <c r="V135" s="154"/>
      <c r="W135" s="154"/>
      <c r="X135" s="155"/>
      <c r="Y135" s="155"/>
      <c r="Z135" s="154"/>
      <c r="AA135" s="148"/>
    </row>
    <row r="136" spans="1:27" ht="12.75">
      <c r="A136"/>
      <c r="B136"/>
      <c r="C136"/>
      <c r="D136"/>
      <c r="E136"/>
      <c r="F136"/>
      <c r="G136"/>
      <c r="H136"/>
      <c r="I136" s="154"/>
      <c r="J136"/>
      <c r="K136" s="154"/>
      <c r="L136" s="154"/>
      <c r="M136"/>
      <c r="N136"/>
      <c r="O136" s="154"/>
      <c r="P136" s="154"/>
      <c r="Q136"/>
      <c r="R136" s="154"/>
      <c r="S136" s="156"/>
      <c r="T136" s="156"/>
      <c r="U136" s="156"/>
      <c r="V136" s="154"/>
      <c r="W136" s="154"/>
      <c r="X136" s="155"/>
      <c r="Y136" s="155"/>
      <c r="Z136" s="154"/>
      <c r="AA136" s="148"/>
    </row>
    <row r="137" spans="1:27" ht="12.75">
      <c r="A137"/>
      <c r="B137"/>
      <c r="C137"/>
      <c r="D137"/>
      <c r="E137"/>
      <c r="F137"/>
      <c r="G137"/>
      <c r="H137"/>
      <c r="I137" s="154"/>
      <c r="J137"/>
      <c r="K137" s="154"/>
      <c r="L137" s="154"/>
      <c r="M137"/>
      <c r="N137"/>
      <c r="O137" s="154"/>
      <c r="P137" s="154"/>
      <c r="Q137"/>
      <c r="R137" s="154"/>
      <c r="S137" s="156"/>
      <c r="T137" s="156"/>
      <c r="U137" s="156"/>
      <c r="V137" s="154"/>
      <c r="W137" s="154"/>
      <c r="X137" s="155"/>
      <c r="Y137" s="155"/>
      <c r="Z137" s="154"/>
      <c r="AA137" s="148"/>
    </row>
    <row r="138" spans="1:27" ht="12.75">
      <c r="A138"/>
      <c r="B138"/>
      <c r="C138"/>
      <c r="D138"/>
      <c r="E138"/>
      <c r="F138"/>
      <c r="G138"/>
      <c r="H138"/>
      <c r="I138" s="154"/>
      <c r="J138"/>
      <c r="K138" s="154"/>
      <c r="L138" s="154"/>
      <c r="M138"/>
      <c r="N138"/>
      <c r="O138" s="154"/>
      <c r="P138" s="154"/>
      <c r="Q138"/>
      <c r="R138" s="154"/>
      <c r="S138" s="156"/>
      <c r="T138" s="156"/>
      <c r="U138" s="156"/>
      <c r="V138" s="154"/>
      <c r="W138" s="154"/>
      <c r="X138" s="155"/>
      <c r="Y138" s="155"/>
      <c r="Z138" s="154"/>
      <c r="AA138" s="148"/>
    </row>
    <row r="139" spans="1:27" ht="12.75">
      <c r="A139"/>
      <c r="B139"/>
      <c r="C139"/>
      <c r="D139"/>
      <c r="E139"/>
      <c r="F139"/>
      <c r="G139"/>
      <c r="H139"/>
      <c r="I139" s="154"/>
      <c r="J139"/>
      <c r="K139" s="154"/>
      <c r="L139" s="154"/>
      <c r="M139"/>
      <c r="N139"/>
      <c r="O139" s="154"/>
      <c r="P139" s="154"/>
      <c r="Q139"/>
      <c r="R139" s="154"/>
      <c r="S139" s="156"/>
      <c r="T139" s="156"/>
      <c r="U139" s="156"/>
      <c r="V139" s="154"/>
      <c r="W139" s="154"/>
      <c r="X139" s="155"/>
      <c r="Y139" s="155"/>
      <c r="Z139" s="154"/>
      <c r="AA139" s="148"/>
    </row>
    <row r="140" spans="1:27" ht="12.75">
      <c r="A140"/>
      <c r="B140"/>
      <c r="C140"/>
      <c r="D140"/>
      <c r="E140"/>
      <c r="F140"/>
      <c r="G140"/>
      <c r="H140"/>
      <c r="I140" s="154"/>
      <c r="J140"/>
      <c r="K140" s="154"/>
      <c r="L140" s="154"/>
      <c r="M140"/>
      <c r="N140"/>
      <c r="O140" s="154"/>
      <c r="P140" s="154"/>
      <c r="Q140"/>
      <c r="R140" s="154"/>
      <c r="S140" s="156"/>
      <c r="T140" s="156"/>
      <c r="U140" s="156"/>
      <c r="V140" s="154"/>
      <c r="W140" s="154"/>
      <c r="X140" s="155"/>
      <c r="Y140" s="155"/>
      <c r="Z140" s="154"/>
      <c r="AA140" s="148"/>
    </row>
    <row r="141" spans="1:27" ht="12.75">
      <c r="A141"/>
      <c r="B141"/>
      <c r="C141"/>
      <c r="D141"/>
      <c r="E141"/>
      <c r="F141"/>
      <c r="G141"/>
      <c r="H141"/>
      <c r="I141" s="154"/>
      <c r="J141"/>
      <c r="K141" s="154"/>
      <c r="L141" s="154"/>
      <c r="M141"/>
      <c r="N141"/>
      <c r="O141" s="154"/>
      <c r="P141" s="154"/>
      <c r="Q141"/>
      <c r="R141" s="154"/>
      <c r="S141" s="156"/>
      <c r="T141" s="156"/>
      <c r="U141" s="156"/>
      <c r="V141" s="154"/>
      <c r="W141" s="154"/>
      <c r="X141" s="155"/>
      <c r="Y141" s="155"/>
      <c r="Z141" s="154"/>
      <c r="AA141" s="148"/>
    </row>
    <row r="142" spans="1:27" ht="12.75">
      <c r="A142"/>
      <c r="B142"/>
      <c r="C142"/>
      <c r="D142"/>
      <c r="E142"/>
      <c r="F142"/>
      <c r="G142"/>
      <c r="H142"/>
      <c r="I142" s="154"/>
      <c r="J142"/>
      <c r="K142" s="154"/>
      <c r="L142" s="154"/>
      <c r="M142"/>
      <c r="N142"/>
      <c r="O142" s="154"/>
      <c r="P142" s="154"/>
      <c r="Q142"/>
      <c r="R142" s="154"/>
      <c r="S142" s="156"/>
      <c r="T142" s="156"/>
      <c r="U142" s="156"/>
      <c r="V142" s="154"/>
      <c r="W142" s="154"/>
      <c r="X142" s="155"/>
      <c r="Y142" s="155"/>
      <c r="Z142" s="154"/>
      <c r="AA142" s="148"/>
    </row>
    <row r="143" spans="1:27" ht="12.75">
      <c r="A143"/>
      <c r="B143"/>
      <c r="C143"/>
      <c r="D143"/>
      <c r="E143"/>
      <c r="F143"/>
      <c r="G143"/>
      <c r="H143"/>
      <c r="I143" s="154"/>
      <c r="J143"/>
      <c r="K143" s="154"/>
      <c r="L143" s="154"/>
      <c r="M143"/>
      <c r="N143"/>
      <c r="O143" s="154"/>
      <c r="P143" s="154"/>
      <c r="Q143"/>
      <c r="R143" s="154"/>
      <c r="S143" s="156"/>
      <c r="T143" s="156"/>
      <c r="U143" s="156"/>
      <c r="V143" s="154"/>
      <c r="W143" s="154"/>
      <c r="X143" s="155"/>
      <c r="Y143" s="155"/>
      <c r="Z143" s="154"/>
      <c r="AA143" s="148"/>
    </row>
    <row r="144" spans="1:27" ht="12.75">
      <c r="A144"/>
      <c r="B144"/>
      <c r="C144"/>
      <c r="D144"/>
      <c r="E144"/>
      <c r="F144"/>
      <c r="G144"/>
      <c r="H144"/>
      <c r="I144" s="154"/>
      <c r="J144"/>
      <c r="K144" s="154"/>
      <c r="L144" s="154"/>
      <c r="M144"/>
      <c r="N144"/>
      <c r="O144" s="154"/>
      <c r="P144" s="154"/>
      <c r="Q144"/>
      <c r="R144" s="154"/>
      <c r="S144" s="156"/>
      <c r="T144" s="156"/>
      <c r="U144" s="156"/>
      <c r="V144" s="154"/>
      <c r="W144" s="154"/>
      <c r="X144" s="155"/>
      <c r="Y144" s="155"/>
      <c r="Z144" s="154"/>
      <c r="AA144" s="148"/>
    </row>
    <row r="145" spans="1:27" ht="12.75">
      <c r="A145"/>
      <c r="B145"/>
      <c r="C145"/>
      <c r="D145"/>
      <c r="E145"/>
      <c r="F145"/>
      <c r="G145"/>
      <c r="H145"/>
      <c r="I145" s="154"/>
      <c r="J145"/>
      <c r="K145" s="154"/>
      <c r="L145" s="154"/>
      <c r="M145"/>
      <c r="N145"/>
      <c r="O145" s="154"/>
      <c r="P145" s="154"/>
      <c r="Q145"/>
      <c r="R145" s="154"/>
      <c r="S145" s="156"/>
      <c r="T145" s="156"/>
      <c r="U145" s="156"/>
      <c r="V145" s="154"/>
      <c r="W145" s="154"/>
      <c r="X145" s="155"/>
      <c r="Y145" s="155"/>
      <c r="Z145" s="154"/>
      <c r="AA145" s="148"/>
    </row>
    <row r="146" spans="1:27" ht="12.75">
      <c r="A146"/>
      <c r="B146"/>
      <c r="C146"/>
      <c r="D146"/>
      <c r="E146"/>
      <c r="F146"/>
      <c r="G146"/>
      <c r="H146"/>
      <c r="I146" s="154"/>
      <c r="J146"/>
      <c r="K146" s="154"/>
      <c r="L146" s="154"/>
      <c r="M146"/>
      <c r="N146"/>
      <c r="O146" s="154"/>
      <c r="P146" s="154"/>
      <c r="Q146"/>
      <c r="R146" s="154"/>
      <c r="S146" s="156"/>
      <c r="T146" s="156"/>
      <c r="U146" s="156"/>
      <c r="V146" s="154"/>
      <c r="W146" s="154"/>
      <c r="X146" s="155"/>
      <c r="Y146" s="155"/>
      <c r="Z146" s="154"/>
      <c r="AA146" s="148"/>
    </row>
    <row r="147" spans="1:27" ht="12.75">
      <c r="A147"/>
      <c r="B147"/>
      <c r="C147"/>
      <c r="D147"/>
      <c r="E147"/>
      <c r="F147"/>
      <c r="G147"/>
      <c r="H147"/>
      <c r="I147" s="154"/>
      <c r="J147"/>
      <c r="K147" s="154"/>
      <c r="L147" s="154"/>
      <c r="M147"/>
      <c r="N147"/>
      <c r="O147" s="154"/>
      <c r="P147" s="154"/>
      <c r="Q147"/>
      <c r="R147" s="154"/>
      <c r="S147" s="156"/>
      <c r="T147" s="156"/>
      <c r="U147" s="156"/>
      <c r="V147" s="154"/>
      <c r="W147" s="154"/>
      <c r="X147" s="155"/>
      <c r="Y147" s="155"/>
      <c r="Z147" s="154"/>
      <c r="AA147" s="148"/>
    </row>
    <row r="148" spans="1:27" ht="12.75">
      <c r="A148"/>
      <c r="B148"/>
      <c r="C148"/>
      <c r="D148"/>
      <c r="E148"/>
      <c r="F148"/>
      <c r="G148"/>
      <c r="H148"/>
      <c r="I148" s="154"/>
      <c r="J148"/>
      <c r="K148" s="154"/>
      <c r="L148" s="154"/>
      <c r="M148"/>
      <c r="N148"/>
      <c r="O148" s="154"/>
      <c r="P148" s="154"/>
      <c r="Q148"/>
      <c r="R148" s="154"/>
      <c r="S148" s="156"/>
      <c r="T148" s="156"/>
      <c r="U148" s="156"/>
      <c r="V148" s="154"/>
      <c r="W148" s="154"/>
      <c r="X148" s="155"/>
      <c r="Y148" s="155"/>
      <c r="Z148" s="154"/>
      <c r="AA148" s="148"/>
    </row>
    <row r="149" spans="1:27" ht="12.75">
      <c r="A149"/>
      <c r="B149"/>
      <c r="C149"/>
      <c r="D149"/>
      <c r="E149"/>
      <c r="F149"/>
      <c r="G149"/>
      <c r="H149"/>
      <c r="I149" s="154"/>
      <c r="J149"/>
      <c r="K149" s="154"/>
      <c r="L149" s="154"/>
      <c r="M149"/>
      <c r="N149"/>
      <c r="O149" s="154"/>
      <c r="P149" s="154"/>
      <c r="Q149"/>
      <c r="R149" s="154"/>
      <c r="S149" s="156"/>
      <c r="T149" s="156"/>
      <c r="U149" s="156"/>
      <c r="V149" s="154"/>
      <c r="W149" s="154"/>
      <c r="X149" s="155"/>
      <c r="Y149" s="155"/>
      <c r="Z149" s="154"/>
      <c r="AA149" s="148"/>
    </row>
    <row r="150" spans="1:27" ht="12.75">
      <c r="A150"/>
      <c r="B150"/>
      <c r="C150"/>
      <c r="D150"/>
      <c r="E150"/>
      <c r="F150"/>
      <c r="G150"/>
      <c r="H150"/>
      <c r="I150" s="154"/>
      <c r="J150"/>
      <c r="K150" s="154"/>
      <c r="L150" s="154"/>
      <c r="M150"/>
      <c r="N150"/>
      <c r="O150" s="154"/>
      <c r="P150" s="154"/>
      <c r="Q150"/>
      <c r="R150" s="154"/>
      <c r="S150" s="156"/>
      <c r="T150" s="156"/>
      <c r="U150" s="156"/>
      <c r="V150" s="154"/>
      <c r="W150" s="154"/>
      <c r="X150" s="155"/>
      <c r="Y150" s="155"/>
      <c r="Z150" s="154"/>
      <c r="AA150" s="148"/>
    </row>
    <row r="151" spans="1:27" ht="12.75">
      <c r="A151"/>
      <c r="B151"/>
      <c r="C151"/>
      <c r="D151"/>
      <c r="E151"/>
      <c r="F151"/>
      <c r="G151"/>
      <c r="H151"/>
      <c r="I151" s="154"/>
      <c r="J151"/>
      <c r="K151" s="154"/>
      <c r="L151" s="154"/>
      <c r="M151"/>
      <c r="N151"/>
      <c r="O151" s="154"/>
      <c r="P151" s="154"/>
      <c r="Q151"/>
      <c r="R151" s="154"/>
      <c r="S151" s="156"/>
      <c r="T151" s="156"/>
      <c r="U151" s="156"/>
      <c r="V151" s="154"/>
      <c r="W151" s="154"/>
      <c r="X151" s="155"/>
      <c r="Y151" s="155"/>
      <c r="Z151" s="154"/>
      <c r="AA151" s="148"/>
    </row>
    <row r="152" spans="1:27" ht="12.75">
      <c r="A152"/>
      <c r="B152"/>
      <c r="C152"/>
      <c r="D152"/>
      <c r="E152"/>
      <c r="F152"/>
      <c r="G152"/>
      <c r="H152"/>
      <c r="I152" s="154"/>
      <c r="J152"/>
      <c r="K152" s="154"/>
      <c r="L152" s="154"/>
      <c r="M152"/>
      <c r="N152"/>
      <c r="O152" s="154"/>
      <c r="P152" s="154"/>
      <c r="Q152"/>
      <c r="R152" s="154"/>
      <c r="S152" s="156"/>
      <c r="T152" s="156"/>
      <c r="U152" s="156"/>
      <c r="V152" s="154"/>
      <c r="W152" s="154"/>
      <c r="X152" s="155"/>
      <c r="Y152" s="155"/>
      <c r="Z152" s="154"/>
      <c r="AA152" s="148"/>
    </row>
    <row r="153" spans="1:27" ht="12.75">
      <c r="A153"/>
      <c r="B153"/>
      <c r="C153"/>
      <c r="D153"/>
      <c r="E153"/>
      <c r="F153"/>
      <c r="G153"/>
      <c r="H153"/>
      <c r="I153" s="154"/>
      <c r="J153"/>
      <c r="K153" s="154"/>
      <c r="L153" s="154"/>
      <c r="M153"/>
      <c r="N153"/>
      <c r="O153" s="154"/>
      <c r="P153" s="154"/>
      <c r="Q153"/>
      <c r="R153" s="154"/>
      <c r="S153" s="156"/>
      <c r="T153" s="156"/>
      <c r="U153" s="156"/>
      <c r="V153" s="154"/>
      <c r="W153" s="154"/>
      <c r="X153" s="155"/>
      <c r="Y153" s="155"/>
      <c r="Z153" s="154"/>
      <c r="AA153" s="148"/>
    </row>
    <row r="154" spans="1:27" ht="12.75">
      <c r="A154"/>
      <c r="B154"/>
      <c r="C154"/>
      <c r="D154"/>
      <c r="E154"/>
      <c r="F154"/>
      <c r="G154"/>
      <c r="H154"/>
      <c r="I154" s="154"/>
      <c r="J154"/>
      <c r="K154" s="154"/>
      <c r="L154" s="154"/>
      <c r="M154"/>
      <c r="N154"/>
      <c r="O154" s="154"/>
      <c r="P154" s="154"/>
      <c r="Q154"/>
      <c r="R154" s="154"/>
      <c r="S154" s="156"/>
      <c r="T154" s="156"/>
      <c r="U154" s="156"/>
      <c r="V154" s="154"/>
      <c r="W154" s="154"/>
      <c r="X154" s="155"/>
      <c r="Y154" s="155"/>
      <c r="Z154" s="154"/>
      <c r="AA154" s="148"/>
    </row>
    <row r="155" spans="1:27" ht="12.75">
      <c r="A155"/>
      <c r="B155"/>
      <c r="C155"/>
      <c r="D155"/>
      <c r="E155"/>
      <c r="F155"/>
      <c r="G155"/>
      <c r="H155"/>
      <c r="I155" s="154"/>
      <c r="J155"/>
      <c r="K155" s="154"/>
      <c r="L155" s="154"/>
      <c r="M155"/>
      <c r="N155"/>
      <c r="O155" s="154"/>
      <c r="P155" s="154"/>
      <c r="Q155"/>
      <c r="R155" s="154"/>
      <c r="S155" s="156"/>
      <c r="T155" s="156"/>
      <c r="U155" s="156"/>
      <c r="V155" s="154"/>
      <c r="W155" s="154"/>
      <c r="X155" s="155"/>
      <c r="Y155" s="155"/>
      <c r="Z155" s="154"/>
      <c r="AA155" s="148"/>
    </row>
    <row r="156" spans="1:27" ht="12.75">
      <c r="A156"/>
      <c r="B156"/>
      <c r="C156"/>
      <c r="D156"/>
      <c r="E156"/>
      <c r="F156"/>
      <c r="G156"/>
      <c r="H156"/>
      <c r="I156" s="154"/>
      <c r="J156"/>
      <c r="K156" s="154"/>
      <c r="L156" s="154"/>
      <c r="M156"/>
      <c r="N156"/>
      <c r="O156" s="154"/>
      <c r="P156" s="154"/>
      <c r="Q156"/>
      <c r="R156" s="154"/>
      <c r="S156" s="156"/>
      <c r="T156" s="156"/>
      <c r="U156" s="156"/>
      <c r="V156" s="154"/>
      <c r="W156" s="154"/>
      <c r="X156" s="155"/>
      <c r="Y156" s="155"/>
      <c r="Z156" s="154"/>
      <c r="AA156" s="148"/>
    </row>
    <row r="157" spans="1:27" ht="12.75">
      <c r="A157"/>
      <c r="B157"/>
      <c r="C157"/>
      <c r="D157"/>
      <c r="E157"/>
      <c r="F157"/>
      <c r="G157"/>
      <c r="H157"/>
      <c r="I157" s="154"/>
      <c r="J157"/>
      <c r="K157" s="154"/>
      <c r="L157" s="154"/>
      <c r="M157"/>
      <c r="N157"/>
      <c r="O157" s="154"/>
      <c r="P157" s="154"/>
      <c r="Q157"/>
      <c r="R157" s="154"/>
      <c r="S157" s="156"/>
      <c r="T157" s="156"/>
      <c r="U157" s="156"/>
      <c r="V157" s="154"/>
      <c r="W157" s="154"/>
      <c r="X157" s="155"/>
      <c r="Y157" s="155"/>
      <c r="Z157" s="154"/>
      <c r="AA157" s="148"/>
    </row>
    <row r="158" spans="1:27" ht="12.75">
      <c r="A158"/>
      <c r="B158"/>
      <c r="C158"/>
      <c r="D158"/>
      <c r="E158"/>
      <c r="F158"/>
      <c r="G158"/>
      <c r="H158"/>
      <c r="I158" s="154"/>
      <c r="J158"/>
      <c r="K158" s="154"/>
      <c r="L158" s="154"/>
      <c r="M158"/>
      <c r="N158"/>
      <c r="O158" s="154"/>
      <c r="P158" s="154"/>
      <c r="Q158"/>
      <c r="R158" s="154"/>
      <c r="S158" s="156"/>
      <c r="T158" s="156"/>
      <c r="U158" s="156"/>
      <c r="V158" s="154"/>
      <c r="W158" s="154"/>
      <c r="X158" s="155"/>
      <c r="Y158" s="155"/>
      <c r="Z158" s="154"/>
      <c r="AA158" s="148"/>
    </row>
    <row r="159" spans="1:27" ht="12.75">
      <c r="A159"/>
      <c r="B159"/>
      <c r="C159"/>
      <c r="D159"/>
      <c r="E159"/>
      <c r="F159"/>
      <c r="G159"/>
      <c r="H159"/>
      <c r="I159" s="154"/>
      <c r="J159"/>
      <c r="K159" s="154"/>
      <c r="L159" s="154"/>
      <c r="M159"/>
      <c r="N159"/>
      <c r="O159" s="154"/>
      <c r="P159" s="154"/>
      <c r="Q159"/>
      <c r="R159" s="154"/>
      <c r="S159" s="156"/>
      <c r="T159" s="156"/>
      <c r="U159" s="156"/>
      <c r="V159" s="154"/>
      <c r="W159" s="154"/>
      <c r="X159" s="155"/>
      <c r="Y159" s="155"/>
      <c r="Z159" s="154"/>
      <c r="AA159" s="148"/>
    </row>
    <row r="160" spans="1:27" ht="12.75">
      <c r="A160"/>
      <c r="B160"/>
      <c r="C160"/>
      <c r="D160"/>
      <c r="E160"/>
      <c r="F160"/>
      <c r="G160"/>
      <c r="H160"/>
      <c r="I160" s="154"/>
      <c r="J160"/>
      <c r="K160" s="154"/>
      <c r="L160" s="154"/>
      <c r="M160"/>
      <c r="N160"/>
      <c r="O160" s="154"/>
      <c r="P160" s="154"/>
      <c r="Q160"/>
      <c r="R160" s="154"/>
      <c r="S160" s="156"/>
      <c r="T160" s="156"/>
      <c r="U160" s="156"/>
      <c r="V160" s="154"/>
      <c r="W160" s="154"/>
      <c r="X160" s="155"/>
      <c r="Y160" s="155"/>
      <c r="Z160" s="154"/>
      <c r="AA160" s="148"/>
    </row>
    <row r="161" spans="1:27" ht="12.75">
      <c r="A161"/>
      <c r="B161"/>
      <c r="C161"/>
      <c r="D161"/>
      <c r="E161"/>
      <c r="F161"/>
      <c r="G161"/>
      <c r="H161"/>
      <c r="I161" s="154"/>
      <c r="J161"/>
      <c r="K161" s="154"/>
      <c r="L161" s="154"/>
      <c r="M161"/>
      <c r="N161"/>
      <c r="O161" s="154"/>
      <c r="P161" s="154"/>
      <c r="Q161"/>
      <c r="R161" s="154"/>
      <c r="S161" s="156"/>
      <c r="T161" s="156"/>
      <c r="U161" s="156"/>
      <c r="V161" s="154"/>
      <c r="W161" s="154"/>
      <c r="X161" s="155"/>
      <c r="Y161" s="155"/>
      <c r="Z161" s="154"/>
      <c r="AA161" s="148"/>
    </row>
    <row r="162" spans="1:27" ht="12.75">
      <c r="A162"/>
      <c r="B162"/>
      <c r="C162"/>
      <c r="D162"/>
      <c r="E162"/>
      <c r="F162"/>
      <c r="G162"/>
      <c r="H162"/>
      <c r="I162" s="154"/>
      <c r="J162"/>
      <c r="K162" s="154"/>
      <c r="L162" s="154"/>
      <c r="M162"/>
      <c r="N162"/>
      <c r="O162" s="154"/>
      <c r="P162" s="154"/>
      <c r="Q162"/>
      <c r="R162" s="154"/>
      <c r="S162" s="156"/>
      <c r="T162" s="156"/>
      <c r="U162" s="156"/>
      <c r="V162" s="154"/>
      <c r="W162" s="154"/>
      <c r="X162" s="155"/>
      <c r="Y162" s="155"/>
      <c r="Z162" s="154"/>
      <c r="AA162" s="148"/>
    </row>
    <row r="163" spans="1:27" ht="12.75">
      <c r="A163"/>
      <c r="B163"/>
      <c r="C163"/>
      <c r="D163"/>
      <c r="E163"/>
      <c r="F163"/>
      <c r="G163"/>
      <c r="H163"/>
      <c r="I163" s="154"/>
      <c r="J163"/>
      <c r="K163" s="154"/>
      <c r="L163" s="154"/>
      <c r="M163"/>
      <c r="N163"/>
      <c r="O163" s="154"/>
      <c r="P163" s="154"/>
      <c r="Q163"/>
      <c r="R163" s="154"/>
      <c r="S163" s="156"/>
      <c r="T163" s="156"/>
      <c r="U163" s="156"/>
      <c r="V163" s="154"/>
      <c r="W163" s="154"/>
      <c r="X163" s="155"/>
      <c r="Y163" s="155"/>
      <c r="Z163" s="154"/>
      <c r="AA163" s="148"/>
    </row>
    <row r="164" spans="1:27" ht="12.75">
      <c r="A164"/>
      <c r="B164"/>
      <c r="C164"/>
      <c r="D164"/>
      <c r="E164"/>
      <c r="F164"/>
      <c r="G164"/>
      <c r="H164"/>
      <c r="I164" s="154"/>
      <c r="J164"/>
      <c r="K164" s="154"/>
      <c r="L164" s="154"/>
      <c r="M164"/>
      <c r="N164"/>
      <c r="O164" s="154"/>
      <c r="P164" s="154"/>
      <c r="Q164"/>
      <c r="R164" s="154"/>
      <c r="S164" s="156"/>
      <c r="T164" s="156"/>
      <c r="U164" s="156"/>
      <c r="V164" s="154"/>
      <c r="W164" s="154"/>
      <c r="X164" s="155"/>
      <c r="Y164" s="155"/>
      <c r="Z164" s="154"/>
      <c r="AA164" s="148"/>
    </row>
    <row r="165" spans="1:27" ht="12.75">
      <c r="A165"/>
      <c r="B165"/>
      <c r="C165"/>
      <c r="D165"/>
      <c r="E165"/>
      <c r="F165"/>
      <c r="G165"/>
      <c r="H165"/>
      <c r="I165" s="154"/>
      <c r="J165"/>
      <c r="K165" s="154"/>
      <c r="L165" s="154"/>
      <c r="M165"/>
      <c r="N165"/>
      <c r="O165" s="154"/>
      <c r="P165" s="154"/>
      <c r="Q165"/>
      <c r="R165" s="154"/>
      <c r="S165" s="156"/>
      <c r="T165" s="156"/>
      <c r="U165" s="156"/>
      <c r="V165" s="154"/>
      <c r="W165" s="154"/>
      <c r="X165" s="155"/>
      <c r="Y165" s="155"/>
      <c r="Z165" s="154"/>
      <c r="AA165" s="148"/>
    </row>
    <row r="166" spans="1:27" ht="12.75">
      <c r="A166"/>
      <c r="B166"/>
      <c r="C166"/>
      <c r="D166"/>
      <c r="E166"/>
      <c r="F166"/>
      <c r="G166"/>
      <c r="H166"/>
      <c r="I166" s="154"/>
      <c r="J166"/>
      <c r="K166" s="154"/>
      <c r="L166" s="154"/>
      <c r="M166"/>
      <c r="N166"/>
      <c r="O166" s="154"/>
      <c r="P166" s="154"/>
      <c r="Q166"/>
      <c r="R166" s="154"/>
      <c r="S166" s="156"/>
      <c r="T166" s="156"/>
      <c r="U166" s="156"/>
      <c r="V166" s="154"/>
      <c r="W166" s="154"/>
      <c r="X166" s="155"/>
      <c r="Y166" s="155"/>
      <c r="Z166" s="154"/>
      <c r="AA166" s="148"/>
    </row>
    <row r="167" spans="1:27" ht="12.75">
      <c r="A167"/>
      <c r="B167"/>
      <c r="C167"/>
      <c r="D167"/>
      <c r="E167"/>
      <c r="F167"/>
      <c r="G167"/>
      <c r="H167"/>
      <c r="I167" s="154"/>
      <c r="J167"/>
      <c r="K167" s="154"/>
      <c r="L167" s="154"/>
      <c r="M167"/>
      <c r="N167"/>
      <c r="O167" s="154"/>
      <c r="P167" s="154"/>
      <c r="Q167"/>
      <c r="R167" s="154"/>
      <c r="S167" s="156"/>
      <c r="T167" s="156"/>
      <c r="U167" s="156"/>
      <c r="V167" s="154"/>
      <c r="W167" s="154"/>
      <c r="X167" s="155"/>
      <c r="Y167" s="155"/>
      <c r="Z167" s="154"/>
      <c r="AA167" s="148"/>
    </row>
    <row r="168" spans="1:27" ht="12.75">
      <c r="A168"/>
      <c r="B168"/>
      <c r="C168"/>
      <c r="D168"/>
      <c r="E168"/>
      <c r="F168"/>
      <c r="G168"/>
      <c r="H168"/>
      <c r="I168" s="154"/>
      <c r="J168"/>
      <c r="K168" s="154"/>
      <c r="L168" s="154"/>
      <c r="M168"/>
      <c r="N168"/>
      <c r="O168" s="154"/>
      <c r="P168" s="154"/>
      <c r="Q168"/>
      <c r="R168" s="154"/>
      <c r="S168" s="156"/>
      <c r="T168" s="156"/>
      <c r="U168" s="156"/>
      <c r="V168" s="154"/>
      <c r="W168" s="154"/>
      <c r="X168" s="155"/>
      <c r="Y168" s="155"/>
      <c r="Z168" s="154"/>
      <c r="AA168" s="148"/>
    </row>
    <row r="169" spans="1:27" ht="12.75">
      <c r="A169"/>
      <c r="B169"/>
      <c r="C169"/>
      <c r="D169"/>
      <c r="E169"/>
      <c r="F169"/>
      <c r="G169"/>
      <c r="H169"/>
      <c r="I169" s="154"/>
      <c r="J169"/>
      <c r="K169" s="154"/>
      <c r="L169" s="154"/>
      <c r="M169"/>
      <c r="N169"/>
      <c r="O169" s="154"/>
      <c r="P169" s="154"/>
      <c r="Q169"/>
      <c r="R169" s="154"/>
      <c r="S169" s="156"/>
      <c r="T169" s="156"/>
      <c r="U169" s="156"/>
      <c r="V169" s="154"/>
      <c r="W169" s="154"/>
      <c r="X169" s="155"/>
      <c r="Y169" s="155"/>
      <c r="Z169" s="154"/>
      <c r="AA169" s="148"/>
    </row>
    <row r="170" spans="1:27" ht="12.75">
      <c r="A170"/>
      <c r="B170"/>
      <c r="C170"/>
      <c r="D170"/>
      <c r="E170"/>
      <c r="F170"/>
      <c r="G170"/>
      <c r="H170"/>
      <c r="I170" s="154"/>
      <c r="J170"/>
      <c r="K170" s="154"/>
      <c r="L170" s="154"/>
      <c r="M170"/>
      <c r="N170"/>
      <c r="O170" s="154"/>
      <c r="P170" s="154"/>
      <c r="Q170"/>
      <c r="R170" s="154"/>
      <c r="S170" s="156"/>
      <c r="T170" s="156"/>
      <c r="U170" s="156"/>
      <c r="V170" s="154"/>
      <c r="W170" s="154"/>
      <c r="X170" s="155"/>
      <c r="Y170" s="155"/>
      <c r="Z170" s="154"/>
      <c r="AA170" s="148"/>
    </row>
    <row r="171" spans="1:27" ht="12.75">
      <c r="A171"/>
      <c r="B171"/>
      <c r="C171"/>
      <c r="D171"/>
      <c r="E171"/>
      <c r="F171"/>
      <c r="G171"/>
      <c r="H171"/>
      <c r="I171" s="154"/>
      <c r="J171"/>
      <c r="K171" s="154"/>
      <c r="L171" s="154"/>
      <c r="M171"/>
      <c r="N171"/>
      <c r="O171" s="154"/>
      <c r="P171" s="154"/>
      <c r="Q171"/>
      <c r="R171" s="154"/>
      <c r="S171" s="156"/>
      <c r="T171" s="156"/>
      <c r="U171" s="156"/>
      <c r="V171" s="154"/>
      <c r="W171" s="154"/>
      <c r="X171" s="155"/>
      <c r="Y171" s="155"/>
      <c r="Z171" s="154"/>
      <c r="AA171" s="148"/>
    </row>
    <row r="172" spans="1:27" ht="12.75">
      <c r="A172"/>
      <c r="B172"/>
      <c r="C172"/>
      <c r="D172"/>
      <c r="E172"/>
      <c r="F172"/>
      <c r="G172"/>
      <c r="H172"/>
      <c r="I172" s="154"/>
      <c r="J172"/>
      <c r="K172" s="154"/>
      <c r="L172" s="154"/>
      <c r="M172"/>
      <c r="N172"/>
      <c r="O172" s="154"/>
      <c r="P172" s="154"/>
      <c r="Q172"/>
      <c r="R172" s="154"/>
      <c r="S172" s="156"/>
      <c r="T172" s="156"/>
      <c r="U172" s="156"/>
      <c r="V172" s="154"/>
      <c r="W172" s="154"/>
      <c r="X172" s="155"/>
      <c r="Y172" s="155"/>
      <c r="Z172" s="154"/>
      <c r="AA172" s="148"/>
    </row>
    <row r="173" spans="1:27" ht="12.75">
      <c r="A173"/>
      <c r="B173"/>
      <c r="C173"/>
      <c r="D173"/>
      <c r="E173"/>
      <c r="F173"/>
      <c r="G173"/>
      <c r="H173"/>
      <c r="I173" s="154"/>
      <c r="J173"/>
      <c r="K173" s="154"/>
      <c r="L173" s="154"/>
      <c r="M173"/>
      <c r="N173"/>
      <c r="O173" s="154"/>
      <c r="P173" s="154"/>
      <c r="Q173"/>
      <c r="R173" s="154"/>
      <c r="S173" s="156"/>
      <c r="T173" s="156"/>
      <c r="U173" s="156"/>
      <c r="V173" s="154"/>
      <c r="W173" s="154"/>
      <c r="X173" s="155"/>
      <c r="Y173" s="155"/>
      <c r="Z173" s="154"/>
      <c r="AA173" s="148"/>
    </row>
    <row r="174" spans="1:27" ht="12.75">
      <c r="A174"/>
      <c r="B174"/>
      <c r="C174"/>
      <c r="D174"/>
      <c r="E174"/>
      <c r="F174"/>
      <c r="G174"/>
      <c r="H174"/>
      <c r="I174" s="154"/>
      <c r="J174"/>
      <c r="K174" s="154"/>
      <c r="L174" s="154"/>
      <c r="M174"/>
      <c r="N174"/>
      <c r="O174" s="154"/>
      <c r="P174" s="154"/>
      <c r="Q174"/>
      <c r="R174" s="154"/>
      <c r="S174" s="156"/>
      <c r="T174" s="156"/>
      <c r="U174" s="156"/>
      <c r="V174" s="154"/>
      <c r="W174" s="154"/>
      <c r="X174" s="155"/>
      <c r="Y174" s="155"/>
      <c r="Z174" s="154"/>
      <c r="AA174" s="148"/>
    </row>
    <row r="175" spans="1:27" ht="12.75">
      <c r="A175"/>
      <c r="B175"/>
      <c r="C175"/>
      <c r="D175"/>
      <c r="E175"/>
      <c r="F175"/>
      <c r="G175"/>
      <c r="H175"/>
      <c r="I175" s="154"/>
      <c r="J175"/>
      <c r="K175" s="154"/>
      <c r="L175" s="154"/>
      <c r="M175"/>
      <c r="N175"/>
      <c r="O175" s="154"/>
      <c r="P175" s="154"/>
      <c r="Q175"/>
      <c r="R175" s="154"/>
      <c r="S175" s="156"/>
      <c r="T175" s="156"/>
      <c r="U175" s="156"/>
      <c r="V175" s="154"/>
      <c r="W175" s="154"/>
      <c r="X175" s="155"/>
      <c r="Y175" s="155"/>
      <c r="Z175" s="154"/>
      <c r="AA175" s="148"/>
    </row>
    <row r="176" spans="1:27" ht="12.75">
      <c r="A176"/>
      <c r="B176"/>
      <c r="C176"/>
      <c r="D176"/>
      <c r="E176"/>
      <c r="F176"/>
      <c r="G176"/>
      <c r="H176"/>
      <c r="I176" s="154"/>
      <c r="J176"/>
      <c r="K176" s="154"/>
      <c r="L176" s="154"/>
      <c r="M176"/>
      <c r="N176"/>
      <c r="O176" s="154"/>
      <c r="P176" s="154"/>
      <c r="Q176"/>
      <c r="R176" s="154"/>
      <c r="S176" s="156"/>
      <c r="T176" s="156"/>
      <c r="U176" s="156"/>
      <c r="V176" s="154"/>
      <c r="W176" s="154"/>
      <c r="X176" s="155"/>
      <c r="Y176" s="155"/>
      <c r="Z176" s="154"/>
      <c r="AA176" s="148"/>
    </row>
    <row r="177" spans="1:27" ht="12.75">
      <c r="A177"/>
      <c r="B177"/>
      <c r="C177"/>
      <c r="D177"/>
      <c r="E177"/>
      <c r="F177"/>
      <c r="G177"/>
      <c r="H177"/>
      <c r="I177" s="154"/>
      <c r="J177"/>
      <c r="K177" s="154"/>
      <c r="L177" s="154"/>
      <c r="M177"/>
      <c r="N177"/>
      <c r="O177" s="154"/>
      <c r="P177" s="154"/>
      <c r="Q177"/>
      <c r="R177" s="154"/>
      <c r="S177" s="156"/>
      <c r="T177" s="156"/>
      <c r="U177" s="156"/>
      <c r="V177" s="154"/>
      <c r="W177" s="154"/>
      <c r="X177" s="155"/>
      <c r="Y177" s="155"/>
      <c r="Z177" s="154"/>
      <c r="AA177" s="148"/>
    </row>
    <row r="178" spans="1:27" ht="12.75">
      <c r="A178"/>
      <c r="B178"/>
      <c r="C178"/>
      <c r="D178"/>
      <c r="E178"/>
      <c r="F178"/>
      <c r="G178"/>
      <c r="H178"/>
      <c r="I178" s="154"/>
      <c r="J178"/>
      <c r="K178" s="154"/>
      <c r="L178" s="154"/>
      <c r="M178"/>
      <c r="N178"/>
      <c r="O178" s="154"/>
      <c r="P178" s="154"/>
      <c r="Q178"/>
      <c r="R178" s="154"/>
      <c r="S178" s="156"/>
      <c r="T178" s="156"/>
      <c r="U178" s="156"/>
      <c r="V178" s="154"/>
      <c r="W178" s="154"/>
      <c r="X178" s="155"/>
      <c r="Y178" s="155"/>
      <c r="Z178" s="154"/>
      <c r="AA178" s="148"/>
    </row>
    <row r="179" spans="1:27" ht="12.75">
      <c r="A179"/>
      <c r="B179"/>
      <c r="C179"/>
      <c r="D179"/>
      <c r="E179"/>
      <c r="F179"/>
      <c r="G179"/>
      <c r="H179"/>
      <c r="I179" s="154"/>
      <c r="J179"/>
      <c r="K179" s="154"/>
      <c r="L179" s="154"/>
      <c r="M179"/>
      <c r="N179"/>
      <c r="O179" s="154"/>
      <c r="P179" s="154"/>
      <c r="Q179"/>
      <c r="R179" s="154"/>
      <c r="S179" s="156"/>
      <c r="T179" s="156"/>
      <c r="U179" s="156"/>
      <c r="V179" s="154"/>
      <c r="W179" s="154"/>
      <c r="X179" s="155"/>
      <c r="Y179" s="155"/>
      <c r="Z179" s="154"/>
      <c r="AA179" s="148"/>
    </row>
    <row r="180" spans="1:27" ht="12.75">
      <c r="A180"/>
      <c r="B180"/>
      <c r="C180"/>
      <c r="D180"/>
      <c r="E180"/>
      <c r="F180"/>
      <c r="G180"/>
      <c r="H180"/>
      <c r="I180" s="154"/>
      <c r="J180"/>
      <c r="K180" s="154"/>
      <c r="L180" s="154"/>
      <c r="M180"/>
      <c r="N180"/>
      <c r="O180" s="154"/>
      <c r="P180" s="154"/>
      <c r="Q180"/>
      <c r="R180" s="154"/>
      <c r="S180" s="156"/>
      <c r="T180" s="156"/>
      <c r="U180" s="156"/>
      <c r="V180" s="154"/>
      <c r="W180" s="154"/>
      <c r="X180" s="155"/>
      <c r="Y180" s="155"/>
      <c r="Z180" s="154"/>
      <c r="AA180" s="148"/>
    </row>
    <row r="181" spans="1:27" ht="12.75">
      <c r="A181"/>
      <c r="B181"/>
      <c r="C181"/>
      <c r="D181"/>
      <c r="E181"/>
      <c r="F181"/>
      <c r="G181"/>
      <c r="H181"/>
      <c r="I181" s="154"/>
      <c r="J181"/>
      <c r="K181" s="154"/>
      <c r="L181" s="154"/>
      <c r="M181"/>
      <c r="N181"/>
      <c r="O181" s="154"/>
      <c r="P181" s="154"/>
      <c r="Q181"/>
      <c r="R181" s="154"/>
      <c r="S181" s="156"/>
      <c r="T181" s="156"/>
      <c r="U181" s="156"/>
      <c r="V181" s="154"/>
      <c r="W181" s="154"/>
      <c r="X181" s="155"/>
      <c r="Y181" s="155"/>
      <c r="Z181" s="154"/>
      <c r="AA181" s="148"/>
    </row>
    <row r="182" spans="1:27" ht="12.75">
      <c r="A182"/>
      <c r="B182"/>
      <c r="C182"/>
      <c r="D182"/>
      <c r="E182"/>
      <c r="F182"/>
      <c r="G182"/>
      <c r="H182"/>
      <c r="I182" s="154"/>
      <c r="J182"/>
      <c r="K182" s="154"/>
      <c r="L182" s="154"/>
      <c r="M182"/>
      <c r="N182"/>
      <c r="O182" s="154"/>
      <c r="P182" s="154"/>
      <c r="Q182"/>
      <c r="R182" s="154"/>
      <c r="S182" s="156"/>
      <c r="T182" s="156"/>
      <c r="U182" s="156"/>
      <c r="V182" s="154"/>
      <c r="W182" s="154"/>
      <c r="X182" s="155"/>
      <c r="Y182" s="155"/>
      <c r="Z182" s="154"/>
      <c r="AA182" s="148"/>
    </row>
    <row r="183" spans="1:27" ht="12.75">
      <c r="A183"/>
      <c r="B183"/>
      <c r="C183"/>
      <c r="D183"/>
      <c r="E183"/>
      <c r="F183"/>
      <c r="G183"/>
      <c r="H183"/>
      <c r="I183" s="154"/>
      <c r="J183"/>
      <c r="K183" s="154"/>
      <c r="L183" s="154"/>
      <c r="M183"/>
      <c r="N183"/>
      <c r="O183" s="154"/>
      <c r="P183" s="154"/>
      <c r="Q183"/>
      <c r="R183" s="154"/>
      <c r="S183" s="156"/>
      <c r="T183" s="156"/>
      <c r="U183" s="156"/>
      <c r="V183" s="154"/>
      <c r="W183" s="154"/>
      <c r="X183" s="155"/>
      <c r="Y183" s="155"/>
      <c r="Z183" s="154"/>
      <c r="AA183" s="148"/>
    </row>
    <row r="184" spans="1:27" ht="12.75">
      <c r="A184"/>
      <c r="B184"/>
      <c r="C184"/>
      <c r="D184"/>
      <c r="E184"/>
      <c r="F184"/>
      <c r="G184"/>
      <c r="H184"/>
      <c r="I184" s="154"/>
      <c r="J184"/>
      <c r="K184" s="154"/>
      <c r="L184" s="154"/>
      <c r="M184"/>
      <c r="N184"/>
      <c r="O184" s="154"/>
      <c r="P184" s="154"/>
      <c r="Q184"/>
      <c r="R184" s="154"/>
      <c r="S184" s="156"/>
      <c r="T184" s="156"/>
      <c r="U184" s="156"/>
      <c r="V184" s="154"/>
      <c r="W184" s="154"/>
      <c r="X184" s="155"/>
      <c r="Y184" s="155"/>
      <c r="Z184" s="154"/>
      <c r="AA184" s="148"/>
    </row>
    <row r="185" spans="1:27" ht="12.75">
      <c r="A185"/>
      <c r="B185"/>
      <c r="C185"/>
      <c r="D185"/>
      <c r="E185"/>
      <c r="F185"/>
      <c r="G185"/>
      <c r="H185"/>
      <c r="I185" s="154"/>
      <c r="J185"/>
      <c r="K185" s="154"/>
      <c r="L185" s="154"/>
      <c r="M185"/>
      <c r="N185"/>
      <c r="O185" s="154"/>
      <c r="P185" s="154"/>
      <c r="Q185"/>
      <c r="R185" s="154"/>
      <c r="S185" s="156"/>
      <c r="T185" s="156"/>
      <c r="U185" s="156"/>
      <c r="V185" s="154"/>
      <c r="W185" s="154"/>
      <c r="X185" s="155"/>
      <c r="Y185" s="155"/>
      <c r="Z185" s="154"/>
      <c r="AA185" s="148"/>
    </row>
    <row r="186" spans="1:27" ht="12.75">
      <c r="A186"/>
      <c r="B186"/>
      <c r="C186"/>
      <c r="D186"/>
      <c r="E186"/>
      <c r="F186"/>
      <c r="G186"/>
      <c r="H186"/>
      <c r="I186" s="154"/>
      <c r="J186"/>
      <c r="K186" s="154"/>
      <c r="L186" s="154"/>
      <c r="M186"/>
      <c r="N186"/>
      <c r="O186" s="154"/>
      <c r="P186" s="154"/>
      <c r="Q186"/>
      <c r="R186" s="154"/>
      <c r="S186" s="156"/>
      <c r="T186" s="156"/>
      <c r="U186" s="156"/>
      <c r="V186" s="154"/>
      <c r="W186" s="154"/>
      <c r="X186" s="155"/>
      <c r="Y186" s="155"/>
      <c r="Z186" s="154"/>
      <c r="AA186" s="148"/>
    </row>
    <row r="187" spans="1:27" ht="12.75">
      <c r="A187"/>
      <c r="B187"/>
      <c r="C187"/>
      <c r="D187"/>
      <c r="E187"/>
      <c r="F187"/>
      <c r="G187"/>
      <c r="H187"/>
      <c r="I187" s="154"/>
      <c r="J187"/>
      <c r="K187" s="154"/>
      <c r="L187" s="154"/>
      <c r="M187"/>
      <c r="N187"/>
      <c r="O187" s="154"/>
      <c r="P187" s="154"/>
      <c r="Q187"/>
      <c r="R187" s="154"/>
      <c r="S187" s="156"/>
      <c r="T187" s="156"/>
      <c r="U187" s="156"/>
      <c r="V187" s="154"/>
      <c r="W187" s="154"/>
      <c r="X187" s="155"/>
      <c r="Y187" s="155"/>
      <c r="Z187" s="154"/>
      <c r="AA187" s="148"/>
    </row>
    <row r="188" spans="1:27" ht="12.75">
      <c r="A188"/>
      <c r="B188"/>
      <c r="C188"/>
      <c r="D188"/>
      <c r="E188"/>
      <c r="F188"/>
      <c r="G188"/>
      <c r="H188"/>
      <c r="I188" s="154"/>
      <c r="J188"/>
      <c r="K188" s="154"/>
      <c r="L188" s="154"/>
      <c r="M188"/>
      <c r="N188"/>
      <c r="O188" s="154"/>
      <c r="P188" s="154"/>
      <c r="Q188"/>
      <c r="R188" s="154"/>
      <c r="S188" s="156"/>
      <c r="T188" s="156"/>
      <c r="U188" s="156"/>
      <c r="V188" s="154"/>
      <c r="W188" s="154"/>
      <c r="X188" s="155"/>
      <c r="Y188" s="155"/>
      <c r="Z188" s="154"/>
      <c r="AA188" s="148"/>
    </row>
    <row r="189" spans="1:27" ht="12.75">
      <c r="A189"/>
      <c r="B189"/>
      <c r="C189"/>
      <c r="D189"/>
      <c r="E189"/>
      <c r="F189"/>
      <c r="G189"/>
      <c r="H189"/>
      <c r="I189" s="154"/>
      <c r="J189"/>
      <c r="K189" s="154"/>
      <c r="L189" s="154"/>
      <c r="M189"/>
      <c r="N189"/>
      <c r="O189" s="154"/>
      <c r="P189" s="154"/>
      <c r="Q189"/>
      <c r="R189" s="154"/>
      <c r="S189" s="156"/>
      <c r="T189" s="156"/>
      <c r="U189" s="156"/>
      <c r="V189" s="154"/>
      <c r="W189" s="154"/>
      <c r="X189" s="155"/>
      <c r="Y189" s="155"/>
      <c r="Z189" s="154"/>
      <c r="AA189" s="148"/>
    </row>
    <row r="190" spans="1:27" ht="12.75">
      <c r="A190"/>
      <c r="B190"/>
      <c r="C190"/>
      <c r="D190"/>
      <c r="E190"/>
      <c r="F190"/>
      <c r="G190"/>
      <c r="H190"/>
      <c r="I190" s="154"/>
      <c r="J190"/>
      <c r="K190" s="154"/>
      <c r="L190" s="154"/>
      <c r="M190"/>
      <c r="N190"/>
      <c r="O190" s="154"/>
      <c r="P190" s="154"/>
      <c r="Q190"/>
      <c r="R190" s="154"/>
      <c r="S190" s="156"/>
      <c r="T190" s="156"/>
      <c r="U190" s="156"/>
      <c r="V190" s="154"/>
      <c r="W190" s="154"/>
      <c r="X190" s="155"/>
      <c r="Y190" s="155"/>
      <c r="Z190" s="154"/>
      <c r="AA190" s="148"/>
    </row>
    <row r="191" spans="1:27" ht="12.75">
      <c r="A191"/>
      <c r="B191"/>
      <c r="C191"/>
      <c r="D191"/>
      <c r="E191"/>
      <c r="F191"/>
      <c r="G191"/>
      <c r="H191"/>
      <c r="I191" s="154"/>
      <c r="J191"/>
      <c r="K191" s="154"/>
      <c r="L191" s="154"/>
      <c r="M191"/>
      <c r="N191"/>
      <c r="O191" s="154"/>
      <c r="P191" s="154"/>
      <c r="Q191"/>
      <c r="R191" s="154"/>
      <c r="S191" s="156"/>
      <c r="T191" s="156"/>
      <c r="U191" s="156"/>
      <c r="V191" s="154"/>
      <c r="W191" s="154"/>
      <c r="X191" s="155"/>
      <c r="Y191" s="155"/>
      <c r="Z191" s="154"/>
      <c r="AA191" s="148"/>
    </row>
    <row r="192" spans="1:27" ht="12.75">
      <c r="A192"/>
      <c r="B192"/>
      <c r="C192"/>
      <c r="D192"/>
      <c r="E192"/>
      <c r="F192"/>
      <c r="G192"/>
      <c r="H192"/>
      <c r="I192" s="154"/>
      <c r="J192"/>
      <c r="K192" s="154"/>
      <c r="L192" s="154"/>
      <c r="M192"/>
      <c r="N192"/>
      <c r="O192" s="154"/>
      <c r="P192" s="154"/>
      <c r="Q192"/>
      <c r="R192" s="154"/>
      <c r="S192" s="156"/>
      <c r="T192" s="156"/>
      <c r="U192" s="156"/>
      <c r="V192" s="154"/>
      <c r="W192" s="154"/>
      <c r="X192" s="155"/>
      <c r="Y192" s="155"/>
      <c r="Z192" s="154"/>
      <c r="AA192" s="148"/>
    </row>
    <row r="193" spans="1:27" ht="12.75">
      <c r="A193"/>
      <c r="B193"/>
      <c r="C193"/>
      <c r="D193"/>
      <c r="E193"/>
      <c r="F193"/>
      <c r="G193"/>
      <c r="H193"/>
      <c r="I193" s="154"/>
      <c r="J193"/>
      <c r="K193" s="154"/>
      <c r="L193" s="154"/>
      <c r="M193"/>
      <c r="N193"/>
      <c r="O193" s="154"/>
      <c r="P193" s="154"/>
      <c r="Q193"/>
      <c r="R193" s="154"/>
      <c r="S193" s="156"/>
      <c r="T193" s="156"/>
      <c r="U193" s="156"/>
      <c r="V193" s="154"/>
      <c r="W193" s="154"/>
      <c r="X193" s="155"/>
      <c r="Y193" s="155"/>
      <c r="Z193" s="154"/>
      <c r="AA193" s="148"/>
    </row>
    <row r="194" spans="1:27" ht="12.75">
      <c r="A194"/>
      <c r="B194"/>
      <c r="C194"/>
      <c r="D194"/>
      <c r="E194"/>
      <c r="F194"/>
      <c r="G194"/>
      <c r="H194"/>
      <c r="I194" s="154"/>
      <c r="J194"/>
      <c r="K194" s="154"/>
      <c r="L194" s="154"/>
      <c r="M194"/>
      <c r="N194"/>
      <c r="O194" s="154"/>
      <c r="P194" s="154"/>
      <c r="Q194"/>
      <c r="R194" s="154"/>
      <c r="S194" s="156"/>
      <c r="T194" s="156"/>
      <c r="U194" s="156"/>
      <c r="V194" s="154"/>
      <c r="W194" s="154"/>
      <c r="X194" s="155"/>
      <c r="Y194" s="155"/>
      <c r="Z194" s="154"/>
      <c r="AA194" s="148"/>
    </row>
    <row r="195" spans="1:27" ht="12.75">
      <c r="A195"/>
      <c r="B195"/>
      <c r="C195"/>
      <c r="D195"/>
      <c r="E195"/>
      <c r="F195"/>
      <c r="G195"/>
      <c r="H195"/>
      <c r="I195" s="154"/>
      <c r="J195"/>
      <c r="K195" s="154"/>
      <c r="L195" s="154"/>
      <c r="M195"/>
      <c r="N195"/>
      <c r="O195" s="154"/>
      <c r="P195" s="154"/>
      <c r="Q195"/>
      <c r="R195" s="154"/>
      <c r="S195" s="156"/>
      <c r="T195" s="156"/>
      <c r="U195" s="156"/>
      <c r="V195" s="154"/>
      <c r="W195" s="154"/>
      <c r="X195" s="155"/>
      <c r="Y195" s="155"/>
      <c r="Z195" s="154"/>
      <c r="AA195" s="148"/>
    </row>
    <row r="196" spans="1:27" ht="12.75">
      <c r="A196"/>
      <c r="B196"/>
      <c r="C196"/>
      <c r="D196"/>
      <c r="E196"/>
      <c r="F196"/>
      <c r="G196"/>
      <c r="H196"/>
      <c r="I196" s="154"/>
      <c r="J196"/>
      <c r="K196" s="154"/>
      <c r="L196" s="154"/>
      <c r="M196"/>
      <c r="N196"/>
      <c r="O196" s="154"/>
      <c r="P196" s="154"/>
      <c r="Q196"/>
      <c r="R196" s="154"/>
      <c r="S196" s="156"/>
      <c r="T196" s="156"/>
      <c r="U196" s="156"/>
      <c r="V196" s="154"/>
      <c r="W196" s="154"/>
      <c r="X196" s="155"/>
      <c r="Y196" s="155"/>
      <c r="Z196" s="154"/>
      <c r="AA196" s="148"/>
    </row>
    <row r="197" spans="1:27" ht="12.75">
      <c r="A197"/>
      <c r="B197"/>
      <c r="C197"/>
      <c r="D197"/>
      <c r="E197"/>
      <c r="F197"/>
      <c r="G197"/>
      <c r="H197"/>
      <c r="I197" s="154"/>
      <c r="J197"/>
      <c r="K197" s="154"/>
      <c r="L197" s="154"/>
      <c r="M197"/>
      <c r="N197"/>
      <c r="O197" s="154"/>
      <c r="P197" s="154"/>
      <c r="Q197"/>
      <c r="R197" s="154"/>
      <c r="S197" s="156"/>
      <c r="T197" s="156"/>
      <c r="U197" s="156"/>
      <c r="V197" s="154"/>
      <c r="W197" s="154"/>
      <c r="X197" s="155"/>
      <c r="Y197" s="155"/>
      <c r="Z197" s="154"/>
      <c r="AA197" s="148"/>
    </row>
    <row r="198" spans="1:27" ht="12.75">
      <c r="A198"/>
      <c r="B198"/>
      <c r="C198"/>
      <c r="D198"/>
      <c r="E198"/>
      <c r="F198"/>
      <c r="G198"/>
      <c r="H198"/>
      <c r="I198" s="154"/>
      <c r="J198"/>
      <c r="K198" s="154"/>
      <c r="L198" s="154"/>
      <c r="M198"/>
      <c r="N198"/>
      <c r="O198" s="154"/>
      <c r="P198" s="154"/>
      <c r="Q198"/>
      <c r="R198" s="154"/>
      <c r="S198" s="156"/>
      <c r="T198" s="156"/>
      <c r="U198" s="156"/>
      <c r="V198" s="154"/>
      <c r="W198" s="154"/>
      <c r="X198" s="155"/>
      <c r="Y198" s="155"/>
      <c r="Z198" s="154"/>
      <c r="AA198" s="148"/>
    </row>
    <row r="199" spans="1:27" ht="12.75">
      <c r="A199"/>
      <c r="B199"/>
      <c r="C199"/>
      <c r="D199"/>
      <c r="E199"/>
      <c r="F199"/>
      <c r="G199"/>
      <c r="H199"/>
      <c r="I199" s="154"/>
      <c r="J199"/>
      <c r="K199" s="154"/>
      <c r="L199" s="154"/>
      <c r="M199"/>
      <c r="N199"/>
      <c r="O199" s="154"/>
      <c r="P199" s="154"/>
      <c r="Q199"/>
      <c r="R199" s="154"/>
      <c r="S199" s="156"/>
      <c r="T199" s="156"/>
      <c r="U199" s="156"/>
      <c r="V199" s="154"/>
      <c r="W199" s="154"/>
      <c r="X199" s="155"/>
      <c r="Y199" s="155"/>
      <c r="Z199" s="154"/>
      <c r="AA199" s="148"/>
    </row>
    <row r="200" spans="1:27" ht="12.75">
      <c r="A200"/>
      <c r="B200"/>
      <c r="C200"/>
      <c r="D200"/>
      <c r="E200"/>
      <c r="F200"/>
      <c r="G200"/>
      <c r="H200"/>
      <c r="I200" s="154"/>
      <c r="J200"/>
      <c r="K200" s="154"/>
      <c r="L200" s="154"/>
      <c r="M200"/>
      <c r="N200"/>
      <c r="O200" s="154"/>
      <c r="P200" s="154"/>
      <c r="Q200"/>
      <c r="R200" s="154"/>
      <c r="S200" s="156"/>
      <c r="T200" s="156"/>
      <c r="U200" s="156"/>
      <c r="V200" s="154"/>
      <c r="W200" s="154"/>
      <c r="X200" s="155"/>
      <c r="Y200" s="155"/>
      <c r="Z200" s="154"/>
      <c r="AA200" s="148"/>
    </row>
    <row r="201" spans="1:27" ht="12.75">
      <c r="A201"/>
      <c r="B201"/>
      <c r="C201"/>
      <c r="D201"/>
      <c r="E201"/>
      <c r="F201"/>
      <c r="G201"/>
      <c r="H201"/>
      <c r="I201" s="154"/>
      <c r="J201"/>
      <c r="K201" s="154"/>
      <c r="L201" s="154"/>
      <c r="M201"/>
      <c r="N201"/>
      <c r="O201" s="154"/>
      <c r="P201" s="154"/>
      <c r="Q201"/>
      <c r="R201" s="154"/>
      <c r="S201" s="156"/>
      <c r="T201" s="156"/>
      <c r="U201" s="156"/>
      <c r="V201" s="154"/>
      <c r="W201" s="154"/>
      <c r="X201" s="155"/>
      <c r="Y201" s="155"/>
      <c r="Z201" s="154"/>
      <c r="AA201" s="148"/>
    </row>
    <row r="202" spans="1:27" ht="12.75">
      <c r="A202"/>
      <c r="B202"/>
      <c r="C202"/>
      <c r="D202"/>
      <c r="E202"/>
      <c r="F202"/>
      <c r="G202"/>
      <c r="H202"/>
      <c r="I202" s="154"/>
      <c r="J202"/>
      <c r="K202" s="154"/>
      <c r="L202" s="154"/>
      <c r="M202"/>
      <c r="N202"/>
      <c r="O202" s="154"/>
      <c r="P202" s="154"/>
      <c r="Q202"/>
      <c r="R202" s="154"/>
      <c r="S202" s="156"/>
      <c r="T202" s="156"/>
      <c r="U202" s="156"/>
      <c r="V202" s="154"/>
      <c r="W202" s="154"/>
      <c r="X202" s="155"/>
      <c r="Y202" s="155"/>
      <c r="Z202" s="154"/>
      <c r="AA202" s="148"/>
    </row>
    <row r="203" spans="1:27" ht="12.75">
      <c r="A203"/>
      <c r="B203"/>
      <c r="C203"/>
      <c r="D203"/>
      <c r="E203"/>
      <c r="F203"/>
      <c r="G203"/>
      <c r="H203"/>
      <c r="I203" s="154"/>
      <c r="J203"/>
      <c r="K203" s="154"/>
      <c r="L203" s="154"/>
      <c r="M203"/>
      <c r="N203"/>
      <c r="O203" s="154"/>
      <c r="P203" s="154"/>
      <c r="Q203"/>
      <c r="R203" s="154"/>
      <c r="S203" s="156"/>
      <c r="T203" s="156"/>
      <c r="U203" s="156"/>
      <c r="V203" s="154"/>
      <c r="W203" s="154"/>
      <c r="X203" s="155"/>
      <c r="Y203" s="155"/>
      <c r="Z203" s="154"/>
      <c r="AA203" s="148"/>
    </row>
    <row r="204" spans="1:27" ht="12.75">
      <c r="A204"/>
      <c r="B204"/>
      <c r="C204"/>
      <c r="D204"/>
      <c r="E204"/>
      <c r="F204"/>
      <c r="G204"/>
      <c r="H204"/>
      <c r="I204" s="154"/>
      <c r="J204"/>
      <c r="K204" s="154"/>
      <c r="L204" s="154"/>
      <c r="M204"/>
      <c r="N204"/>
      <c r="O204" s="154"/>
      <c r="P204" s="154"/>
      <c r="Q204"/>
      <c r="R204" s="154"/>
      <c r="S204" s="156"/>
      <c r="T204" s="156"/>
      <c r="U204" s="156"/>
      <c r="V204" s="154"/>
      <c r="W204" s="154"/>
      <c r="X204" s="155"/>
      <c r="Y204" s="155"/>
      <c r="Z204" s="154"/>
      <c r="AA204" s="148"/>
    </row>
    <row r="205" spans="1:27" ht="12.75">
      <c r="A205"/>
      <c r="B205"/>
      <c r="C205"/>
      <c r="D205"/>
      <c r="E205"/>
      <c r="F205"/>
      <c r="G205"/>
      <c r="H205"/>
      <c r="I205" s="154"/>
      <c r="J205"/>
      <c r="K205" s="154"/>
      <c r="L205" s="154"/>
      <c r="M205"/>
      <c r="N205"/>
      <c r="O205" s="154"/>
      <c r="P205" s="154"/>
      <c r="Q205"/>
      <c r="R205" s="154"/>
      <c r="S205" s="156"/>
      <c r="T205" s="156"/>
      <c r="U205" s="156"/>
      <c r="V205" s="154"/>
      <c r="W205" s="154"/>
      <c r="X205" s="155"/>
      <c r="Y205" s="155"/>
      <c r="Z205" s="154"/>
      <c r="AA205" s="148"/>
    </row>
    <row r="206" spans="1:27" ht="12.75">
      <c r="A206"/>
      <c r="B206"/>
      <c r="C206"/>
      <c r="D206"/>
      <c r="E206"/>
      <c r="F206"/>
      <c r="G206"/>
      <c r="H206"/>
      <c r="I206" s="154"/>
      <c r="J206"/>
      <c r="K206" s="154"/>
      <c r="L206" s="154"/>
      <c r="M206"/>
      <c r="N206"/>
      <c r="O206" s="154"/>
      <c r="P206" s="154"/>
      <c r="Q206"/>
      <c r="R206" s="154"/>
      <c r="S206" s="156"/>
      <c r="T206" s="156"/>
      <c r="U206" s="156"/>
      <c r="V206" s="154"/>
      <c r="W206" s="154"/>
      <c r="X206" s="155"/>
      <c r="Y206" s="155"/>
      <c r="Z206" s="154"/>
      <c r="AA206" s="148"/>
    </row>
    <row r="207" spans="1:27" ht="12.75">
      <c r="A207"/>
      <c r="B207"/>
      <c r="C207"/>
      <c r="D207"/>
      <c r="E207"/>
      <c r="F207"/>
      <c r="G207"/>
      <c r="H207"/>
      <c r="I207" s="154"/>
      <c r="J207"/>
      <c r="K207" s="154"/>
      <c r="L207" s="154"/>
      <c r="M207"/>
      <c r="N207"/>
      <c r="O207" s="154"/>
      <c r="P207" s="154"/>
      <c r="Q207"/>
      <c r="R207" s="154"/>
      <c r="S207" s="156"/>
      <c r="T207" s="156"/>
      <c r="U207" s="156"/>
      <c r="V207" s="154"/>
      <c r="W207" s="154"/>
      <c r="X207" s="155"/>
      <c r="Y207" s="155"/>
      <c r="Z207" s="154"/>
      <c r="AA207" s="148"/>
    </row>
    <row r="208" spans="1:27" ht="12.75">
      <c r="A208"/>
      <c r="B208"/>
      <c r="C208"/>
      <c r="D208"/>
      <c r="E208"/>
      <c r="F208"/>
      <c r="G208"/>
      <c r="H208"/>
      <c r="I208" s="154"/>
      <c r="J208"/>
      <c r="K208" s="154"/>
      <c r="L208" s="154"/>
      <c r="M208"/>
      <c r="N208"/>
      <c r="O208" s="154"/>
      <c r="P208" s="154"/>
      <c r="Q208"/>
      <c r="R208" s="154"/>
      <c r="S208" s="156"/>
      <c r="T208" s="156"/>
      <c r="U208" s="156"/>
      <c r="V208" s="154"/>
      <c r="W208" s="154"/>
      <c r="X208" s="155"/>
      <c r="Y208" s="155"/>
      <c r="Z208" s="154"/>
      <c r="AA208" s="148"/>
    </row>
    <row r="209" spans="1:27" ht="12.75">
      <c r="A209"/>
      <c r="B209"/>
      <c r="C209"/>
      <c r="D209"/>
      <c r="E209"/>
      <c r="F209"/>
      <c r="G209"/>
      <c r="H209"/>
      <c r="I209" s="154"/>
      <c r="J209"/>
      <c r="K209" s="154"/>
      <c r="L209" s="154"/>
      <c r="M209"/>
      <c r="N209"/>
      <c r="O209" s="154"/>
      <c r="P209" s="154"/>
      <c r="Q209"/>
      <c r="R209" s="154"/>
      <c r="S209" s="156"/>
      <c r="T209" s="156"/>
      <c r="U209" s="156"/>
      <c r="V209" s="154"/>
      <c r="W209" s="154"/>
      <c r="X209" s="155"/>
      <c r="Y209" s="155"/>
      <c r="Z209" s="154"/>
      <c r="AA209" s="148"/>
    </row>
    <row r="210" spans="1:27" ht="12.75">
      <c r="A210"/>
      <c r="B210"/>
      <c r="C210"/>
      <c r="D210"/>
      <c r="E210"/>
      <c r="F210"/>
      <c r="G210"/>
      <c r="H210"/>
      <c r="I210" s="154"/>
      <c r="J210"/>
      <c r="K210" s="154"/>
      <c r="L210" s="154"/>
      <c r="M210"/>
      <c r="N210"/>
      <c r="O210" s="154"/>
      <c r="P210" s="154"/>
      <c r="Q210"/>
      <c r="R210" s="154"/>
      <c r="S210" s="156"/>
      <c r="T210" s="156"/>
      <c r="U210" s="156"/>
      <c r="V210" s="154"/>
      <c r="W210" s="154"/>
      <c r="X210" s="155"/>
      <c r="Y210" s="155"/>
      <c r="Z210" s="154"/>
      <c r="AA210" s="148"/>
    </row>
    <row r="211" spans="1:27" ht="12.75">
      <c r="A211"/>
      <c r="B211"/>
      <c r="C211"/>
      <c r="D211"/>
      <c r="E211"/>
      <c r="F211"/>
      <c r="G211"/>
      <c r="H211"/>
      <c r="I211" s="154"/>
      <c r="J211"/>
      <c r="K211" s="154"/>
      <c r="L211" s="154"/>
      <c r="M211"/>
      <c r="N211"/>
      <c r="O211" s="154"/>
      <c r="P211" s="154"/>
      <c r="Q211"/>
      <c r="R211" s="154"/>
      <c r="S211" s="156"/>
      <c r="T211" s="156"/>
      <c r="U211" s="156"/>
      <c r="V211" s="154"/>
      <c r="W211" s="154"/>
      <c r="X211" s="155"/>
      <c r="Y211" s="155"/>
      <c r="Z211" s="154"/>
      <c r="AA211" s="148"/>
    </row>
    <row r="212" spans="1:27" ht="12.75">
      <c r="A212"/>
      <c r="B212"/>
      <c r="C212"/>
      <c r="D212"/>
      <c r="E212"/>
      <c r="F212"/>
      <c r="G212"/>
      <c r="H212"/>
      <c r="I212" s="154"/>
      <c r="J212"/>
      <c r="K212" s="154"/>
      <c r="L212" s="154"/>
      <c r="M212"/>
      <c r="N212"/>
      <c r="O212" s="154"/>
      <c r="P212" s="154"/>
      <c r="Q212"/>
      <c r="R212" s="154"/>
      <c r="S212" s="156"/>
      <c r="T212" s="156"/>
      <c r="U212" s="156"/>
      <c r="V212" s="154"/>
      <c r="W212" s="154"/>
      <c r="X212" s="155"/>
      <c r="Y212" s="155"/>
      <c r="Z212" s="154"/>
      <c r="AA212" s="148"/>
    </row>
    <row r="213" spans="1:27" ht="12.75">
      <c r="A213"/>
      <c r="B213"/>
      <c r="C213"/>
      <c r="D213"/>
      <c r="E213"/>
      <c r="F213"/>
      <c r="G213"/>
      <c r="H213"/>
      <c r="I213" s="154"/>
      <c r="J213"/>
      <c r="K213" s="154"/>
      <c r="L213" s="154"/>
      <c r="M213"/>
      <c r="N213"/>
      <c r="O213" s="154"/>
      <c r="P213" s="154"/>
      <c r="Q213"/>
      <c r="R213" s="154"/>
      <c r="S213" s="156"/>
      <c r="T213" s="156"/>
      <c r="U213" s="156"/>
      <c r="V213" s="154"/>
      <c r="W213" s="154"/>
      <c r="X213" s="155"/>
      <c r="Y213" s="155"/>
      <c r="Z213" s="154"/>
      <c r="AA213" s="148"/>
    </row>
    <row r="214" spans="1:27" ht="12.75">
      <c r="A214"/>
      <c r="B214"/>
      <c r="C214"/>
      <c r="D214"/>
      <c r="E214"/>
      <c r="F214"/>
      <c r="G214"/>
      <c r="H214"/>
      <c r="I214" s="154"/>
      <c r="J214"/>
      <c r="K214" s="154"/>
      <c r="L214" s="154"/>
      <c r="M214"/>
      <c r="N214"/>
      <c r="O214" s="154"/>
      <c r="P214" s="154"/>
      <c r="Q214"/>
      <c r="R214" s="154"/>
      <c r="S214" s="156"/>
      <c r="T214" s="156"/>
      <c r="U214" s="156"/>
      <c r="V214" s="154"/>
      <c r="W214" s="154"/>
      <c r="X214" s="155"/>
      <c r="Y214" s="155"/>
      <c r="Z214" s="154"/>
      <c r="AA214" s="148"/>
    </row>
    <row r="215" spans="1:27" ht="12.75">
      <c r="A215"/>
      <c r="B215"/>
      <c r="C215"/>
      <c r="D215"/>
      <c r="E215"/>
      <c r="F215"/>
      <c r="G215"/>
      <c r="H215"/>
      <c r="I215" s="154"/>
      <c r="J215"/>
      <c r="K215" s="154"/>
      <c r="L215" s="154"/>
      <c r="M215"/>
      <c r="N215"/>
      <c r="O215" s="154"/>
      <c r="P215" s="154"/>
      <c r="Q215"/>
      <c r="R215" s="154"/>
      <c r="S215" s="156"/>
      <c r="T215" s="156"/>
      <c r="U215" s="156"/>
      <c r="V215" s="154"/>
      <c r="W215" s="154"/>
      <c r="X215" s="155"/>
      <c r="Y215" s="155"/>
      <c r="Z215" s="154"/>
      <c r="AA215" s="148"/>
    </row>
    <row r="216" spans="1:27" ht="12.75">
      <c r="A216"/>
      <c r="B216"/>
      <c r="C216"/>
      <c r="D216"/>
      <c r="E216"/>
      <c r="F216"/>
      <c r="G216"/>
      <c r="H216"/>
      <c r="I216" s="154"/>
      <c r="J216"/>
      <c r="K216" s="154"/>
      <c r="L216" s="154"/>
      <c r="M216"/>
      <c r="N216"/>
      <c r="O216" s="154"/>
      <c r="P216" s="154"/>
      <c r="Q216"/>
      <c r="R216" s="154"/>
      <c r="S216" s="156"/>
      <c r="T216" s="156"/>
      <c r="U216" s="156"/>
      <c r="V216" s="154"/>
      <c r="W216" s="154"/>
      <c r="X216" s="155"/>
      <c r="Y216" s="155"/>
      <c r="Z216" s="154"/>
      <c r="AA216" s="148"/>
    </row>
    <row r="217" spans="1:27" ht="12.75">
      <c r="A217"/>
      <c r="B217"/>
      <c r="C217"/>
      <c r="D217"/>
      <c r="E217"/>
      <c r="F217"/>
      <c r="G217"/>
      <c r="H217"/>
      <c r="I217" s="154"/>
      <c r="J217"/>
      <c r="K217" s="154"/>
      <c r="L217" s="154"/>
      <c r="M217"/>
      <c r="N217"/>
      <c r="O217" s="154"/>
      <c r="P217" s="154"/>
      <c r="Q217"/>
      <c r="R217" s="154"/>
      <c r="S217" s="156"/>
      <c r="T217" s="156"/>
      <c r="U217" s="156"/>
      <c r="V217" s="154"/>
      <c r="W217" s="154"/>
      <c r="X217" s="155"/>
      <c r="Y217" s="155"/>
      <c r="Z217" s="154"/>
      <c r="AA217" s="148"/>
    </row>
    <row r="218" spans="1:27" ht="12.75">
      <c r="A218"/>
      <c r="B218"/>
      <c r="C218"/>
      <c r="D218"/>
      <c r="E218"/>
      <c r="F218"/>
      <c r="G218"/>
      <c r="H218"/>
      <c r="I218" s="154"/>
      <c r="J218"/>
      <c r="K218" s="154"/>
      <c r="L218" s="154"/>
      <c r="M218"/>
      <c r="N218"/>
      <c r="O218" s="154"/>
      <c r="P218" s="154"/>
      <c r="Q218"/>
      <c r="R218" s="154"/>
      <c r="S218" s="156"/>
      <c r="T218" s="156"/>
      <c r="U218" s="156"/>
      <c r="V218" s="154"/>
      <c r="W218" s="154"/>
      <c r="X218" s="155"/>
      <c r="Y218" s="155"/>
      <c r="Z218" s="154"/>
      <c r="AA218" s="148"/>
    </row>
    <row r="219" spans="1:27" ht="12.75">
      <c r="A219"/>
      <c r="B219"/>
      <c r="C219"/>
      <c r="D219"/>
      <c r="E219"/>
      <c r="F219"/>
      <c r="G219"/>
      <c r="H219"/>
      <c r="I219" s="154"/>
      <c r="J219"/>
      <c r="K219" s="154"/>
      <c r="L219" s="154"/>
      <c r="M219"/>
      <c r="N219"/>
      <c r="O219" s="154"/>
      <c r="P219" s="154"/>
      <c r="Q219"/>
      <c r="R219" s="154"/>
      <c r="S219" s="156"/>
      <c r="T219" s="156"/>
      <c r="U219" s="156"/>
      <c r="V219" s="154"/>
      <c r="W219" s="154"/>
      <c r="X219" s="155"/>
      <c r="Y219" s="155"/>
      <c r="Z219" s="154"/>
      <c r="AA219" s="148"/>
    </row>
    <row r="220" spans="1:27" ht="12.75">
      <c r="A220"/>
      <c r="B220"/>
      <c r="C220"/>
      <c r="D220"/>
      <c r="E220"/>
      <c r="F220"/>
      <c r="G220"/>
      <c r="H220"/>
      <c r="I220" s="154"/>
      <c r="J220"/>
      <c r="K220" s="154"/>
      <c r="L220" s="154"/>
      <c r="M220"/>
      <c r="N220"/>
      <c r="O220" s="154"/>
      <c r="P220" s="154"/>
      <c r="Q220"/>
      <c r="R220" s="154"/>
      <c r="S220" s="156"/>
      <c r="T220" s="156"/>
      <c r="U220" s="156"/>
      <c r="V220" s="154"/>
      <c r="W220" s="154"/>
      <c r="X220" s="155"/>
      <c r="Y220" s="155"/>
      <c r="Z220" s="154"/>
      <c r="AA220" s="148"/>
    </row>
    <row r="221" spans="1:27" ht="12.75">
      <c r="A221"/>
      <c r="B221"/>
      <c r="C221"/>
      <c r="D221"/>
      <c r="E221"/>
      <c r="F221"/>
      <c r="G221"/>
      <c r="H221"/>
      <c r="I221" s="154"/>
      <c r="J221"/>
      <c r="K221" s="154"/>
      <c r="L221" s="154"/>
      <c r="M221"/>
      <c r="N221"/>
      <c r="O221" s="154"/>
      <c r="P221" s="154"/>
      <c r="Q221"/>
      <c r="R221" s="154"/>
      <c r="S221" s="156"/>
      <c r="T221" s="156"/>
      <c r="U221" s="156"/>
      <c r="V221" s="154"/>
      <c r="W221" s="154"/>
      <c r="X221" s="155"/>
      <c r="Y221" s="155"/>
      <c r="Z221" s="154"/>
      <c r="AA221" s="148"/>
    </row>
    <row r="222" spans="1:27" ht="12.75">
      <c r="A222"/>
      <c r="B222"/>
      <c r="C222"/>
      <c r="D222"/>
      <c r="E222"/>
      <c r="F222"/>
      <c r="G222"/>
      <c r="H222"/>
      <c r="I222" s="154"/>
      <c r="J222"/>
      <c r="K222" s="154"/>
      <c r="L222" s="154"/>
      <c r="M222"/>
      <c r="N222"/>
      <c r="O222" s="154"/>
      <c r="P222" s="154"/>
      <c r="Q222"/>
      <c r="R222" s="154"/>
      <c r="S222" s="156"/>
      <c r="T222" s="156"/>
      <c r="U222" s="156"/>
      <c r="V222" s="154"/>
      <c r="W222" s="154"/>
      <c r="X222" s="155"/>
      <c r="Y222" s="155"/>
      <c r="Z222" s="154"/>
      <c r="AA222" s="148"/>
    </row>
    <row r="223" spans="1:27" ht="12.75">
      <c r="A223"/>
      <c r="B223"/>
      <c r="C223"/>
      <c r="D223"/>
      <c r="E223"/>
      <c r="F223"/>
      <c r="G223"/>
      <c r="H223"/>
      <c r="I223" s="154"/>
      <c r="J223"/>
      <c r="K223" s="154"/>
      <c r="L223" s="154"/>
      <c r="M223"/>
      <c r="N223"/>
      <c r="O223" s="154"/>
      <c r="P223" s="154"/>
      <c r="Q223"/>
      <c r="R223" s="154"/>
      <c r="S223" s="156"/>
      <c r="T223" s="156"/>
      <c r="U223" s="156"/>
      <c r="V223" s="154"/>
      <c r="W223" s="154"/>
      <c r="X223" s="155"/>
      <c r="Y223" s="155"/>
      <c r="Z223" s="154"/>
      <c r="AA223" s="148"/>
    </row>
    <row r="224" spans="1:27" ht="12.75">
      <c r="A224"/>
      <c r="B224"/>
      <c r="C224"/>
      <c r="D224"/>
      <c r="E224"/>
      <c r="F224"/>
      <c r="G224"/>
      <c r="H224"/>
      <c r="I224" s="154"/>
      <c r="J224"/>
      <c r="K224" s="154"/>
      <c r="L224" s="154"/>
      <c r="M224"/>
      <c r="N224"/>
      <c r="O224" s="154"/>
      <c r="P224" s="154"/>
      <c r="Q224"/>
      <c r="R224" s="154"/>
      <c r="S224" s="156"/>
      <c r="T224" s="156"/>
      <c r="U224" s="156"/>
      <c r="V224" s="154"/>
      <c r="W224" s="154"/>
      <c r="X224" s="155"/>
      <c r="Y224" s="155"/>
      <c r="Z224" s="154"/>
      <c r="AA224" s="148"/>
    </row>
    <row r="225" spans="1:27" ht="12.75">
      <c r="A225"/>
      <c r="B225"/>
      <c r="C225"/>
      <c r="D225"/>
      <c r="E225"/>
      <c r="F225"/>
      <c r="G225"/>
      <c r="H225"/>
      <c r="I225" s="154"/>
      <c r="J225"/>
      <c r="K225" s="154"/>
      <c r="L225" s="154"/>
      <c r="M225"/>
      <c r="N225"/>
      <c r="O225" s="154"/>
      <c r="P225" s="154"/>
      <c r="Q225"/>
      <c r="R225" s="154"/>
      <c r="S225" s="156"/>
      <c r="T225" s="156"/>
      <c r="U225" s="156"/>
      <c r="V225" s="154"/>
      <c r="W225" s="154"/>
      <c r="X225" s="155"/>
      <c r="Y225" s="155"/>
      <c r="Z225" s="154"/>
      <c r="AA225" s="148"/>
    </row>
    <row r="226" spans="1:27" ht="12.75">
      <c r="A226"/>
      <c r="B226"/>
      <c r="C226"/>
      <c r="D226"/>
      <c r="E226"/>
      <c r="F226"/>
      <c r="G226"/>
      <c r="H226"/>
      <c r="I226" s="154"/>
      <c r="J226"/>
      <c r="K226" s="154"/>
      <c r="L226" s="154"/>
      <c r="M226"/>
      <c r="N226"/>
      <c r="O226" s="154"/>
      <c r="P226" s="154"/>
      <c r="Q226"/>
      <c r="R226" s="154"/>
      <c r="S226" s="156"/>
      <c r="T226" s="156"/>
      <c r="U226" s="156"/>
      <c r="V226" s="154"/>
      <c r="W226" s="154"/>
      <c r="X226" s="155"/>
      <c r="Y226" s="155"/>
      <c r="Z226" s="154"/>
      <c r="AA226" s="148"/>
    </row>
    <row r="227" spans="1:27" ht="12.75">
      <c r="A227"/>
      <c r="B227"/>
      <c r="C227"/>
      <c r="D227"/>
      <c r="E227"/>
      <c r="F227"/>
      <c r="G227"/>
      <c r="H227"/>
      <c r="I227" s="154"/>
      <c r="J227"/>
      <c r="K227" s="154"/>
      <c r="L227" s="154"/>
      <c r="M227"/>
      <c r="N227"/>
      <c r="O227" s="154"/>
      <c r="P227" s="154"/>
      <c r="Q227"/>
      <c r="R227" s="154"/>
      <c r="S227" s="156"/>
      <c r="T227" s="156"/>
      <c r="U227" s="156"/>
      <c r="V227" s="154"/>
      <c r="W227" s="154"/>
      <c r="X227" s="155"/>
      <c r="Y227" s="155"/>
      <c r="Z227" s="154"/>
      <c r="AA227" s="148"/>
    </row>
    <row r="228" spans="1:27" ht="12.75">
      <c r="A228"/>
      <c r="B228"/>
      <c r="C228"/>
      <c r="D228"/>
      <c r="E228"/>
      <c r="F228"/>
      <c r="G228"/>
      <c r="H228"/>
      <c r="I228" s="154"/>
      <c r="J228"/>
      <c r="K228" s="154"/>
      <c r="L228" s="154"/>
      <c r="M228"/>
      <c r="N228"/>
      <c r="O228" s="154"/>
      <c r="P228" s="154"/>
      <c r="Q228"/>
      <c r="R228" s="154"/>
      <c r="S228" s="156"/>
      <c r="T228" s="156"/>
      <c r="U228" s="156"/>
      <c r="V228" s="154"/>
      <c r="W228" s="154"/>
      <c r="X228" s="155"/>
      <c r="Y228" s="155"/>
      <c r="Z228" s="154"/>
      <c r="AA228" s="148"/>
    </row>
    <row r="229" spans="1:27" ht="12.75">
      <c r="A229"/>
      <c r="B229"/>
      <c r="C229"/>
      <c r="D229"/>
      <c r="E229"/>
      <c r="F229"/>
      <c r="G229"/>
      <c r="H229"/>
      <c r="I229" s="154"/>
      <c r="J229"/>
      <c r="K229" s="154"/>
      <c r="L229" s="154"/>
      <c r="M229"/>
      <c r="N229"/>
      <c r="O229" s="154"/>
      <c r="P229" s="154"/>
      <c r="Q229"/>
      <c r="R229" s="154"/>
      <c r="S229" s="156"/>
      <c r="T229" s="156"/>
      <c r="U229" s="156"/>
      <c r="V229" s="154"/>
      <c r="W229" s="154"/>
      <c r="X229" s="155"/>
      <c r="Y229" s="155"/>
      <c r="Z229" s="154"/>
      <c r="AA229" s="148"/>
    </row>
    <row r="230" spans="1:27" ht="12.75">
      <c r="A230"/>
      <c r="B230"/>
      <c r="C230"/>
      <c r="D230"/>
      <c r="E230"/>
      <c r="F230"/>
      <c r="G230"/>
      <c r="H230"/>
      <c r="I230" s="154"/>
      <c r="J230"/>
      <c r="K230" s="154"/>
      <c r="L230" s="154"/>
      <c r="M230"/>
      <c r="N230"/>
      <c r="O230" s="154"/>
      <c r="P230" s="154"/>
      <c r="Q230"/>
      <c r="R230" s="154"/>
      <c r="S230" s="156"/>
      <c r="T230" s="156"/>
      <c r="U230" s="156"/>
      <c r="V230" s="154"/>
      <c r="W230" s="154"/>
      <c r="X230" s="155"/>
      <c r="Y230" s="155"/>
      <c r="Z230" s="154"/>
      <c r="AA230" s="148"/>
    </row>
    <row r="231" spans="1:27" ht="12.75">
      <c r="A231"/>
      <c r="B231"/>
      <c r="C231"/>
      <c r="D231"/>
      <c r="E231"/>
      <c r="F231"/>
      <c r="G231"/>
      <c r="H231"/>
      <c r="I231" s="154"/>
      <c r="J231"/>
      <c r="K231" s="154"/>
      <c r="L231" s="154"/>
      <c r="M231"/>
      <c r="N231"/>
      <c r="O231" s="154"/>
      <c r="P231" s="154"/>
      <c r="Q231"/>
      <c r="R231" s="154"/>
      <c r="S231" s="156"/>
      <c r="T231" s="156"/>
      <c r="U231" s="156"/>
      <c r="V231" s="154"/>
      <c r="W231" s="154"/>
      <c r="X231" s="155"/>
      <c r="Y231" s="155"/>
      <c r="Z231" s="154"/>
      <c r="AA231" s="148"/>
    </row>
    <row r="232" spans="1:27" ht="12.75">
      <c r="A232"/>
      <c r="B232"/>
      <c r="C232"/>
      <c r="D232"/>
      <c r="E232"/>
      <c r="F232"/>
      <c r="G232"/>
      <c r="H232"/>
      <c r="I232" s="154"/>
      <c r="J232"/>
      <c r="K232" s="154"/>
      <c r="L232" s="154"/>
      <c r="M232"/>
      <c r="N232"/>
      <c r="O232" s="154"/>
      <c r="P232" s="154"/>
      <c r="Q232"/>
      <c r="R232" s="154"/>
      <c r="S232" s="156"/>
      <c r="T232" s="156"/>
      <c r="U232" s="156"/>
      <c r="V232" s="154"/>
      <c r="W232" s="154"/>
      <c r="X232" s="155"/>
      <c r="Y232" s="155"/>
      <c r="Z232" s="154"/>
      <c r="AA232" s="148"/>
    </row>
    <row r="233" spans="1:27" ht="12.75">
      <c r="A233"/>
      <c r="B233"/>
      <c r="C233"/>
      <c r="D233"/>
      <c r="E233"/>
      <c r="F233"/>
      <c r="G233"/>
      <c r="H233"/>
      <c r="I233" s="154"/>
      <c r="J233"/>
      <c r="K233" s="154"/>
      <c r="L233" s="154"/>
      <c r="M233"/>
      <c r="N233"/>
      <c r="O233" s="154"/>
      <c r="P233" s="154"/>
      <c r="Q233"/>
      <c r="R233" s="154"/>
      <c r="S233" s="156"/>
      <c r="T233" s="156"/>
      <c r="U233" s="156"/>
      <c r="V233" s="154"/>
      <c r="W233" s="154"/>
      <c r="X233" s="155"/>
      <c r="Y233" s="155"/>
      <c r="Z233" s="154"/>
      <c r="AA233" s="148"/>
    </row>
    <row r="234" spans="1:27" ht="12.75">
      <c r="A234"/>
      <c r="B234"/>
      <c r="C234"/>
      <c r="D234"/>
      <c r="E234"/>
      <c r="F234"/>
      <c r="G234"/>
      <c r="H234"/>
      <c r="I234" s="154"/>
      <c r="J234"/>
      <c r="K234" s="154"/>
      <c r="L234" s="154"/>
      <c r="M234"/>
      <c r="N234"/>
      <c r="O234" s="154"/>
      <c r="P234" s="154"/>
      <c r="Q234"/>
      <c r="R234" s="154"/>
      <c r="S234" s="156"/>
      <c r="T234" s="156"/>
      <c r="U234" s="156"/>
      <c r="V234" s="154"/>
      <c r="W234" s="154"/>
      <c r="X234" s="155"/>
      <c r="Y234" s="155"/>
      <c r="Z234" s="154"/>
      <c r="AA234" s="148"/>
    </row>
    <row r="235" spans="1:27" ht="12.75">
      <c r="A235"/>
      <c r="B235"/>
      <c r="C235"/>
      <c r="D235"/>
      <c r="E235"/>
      <c r="F235"/>
      <c r="G235"/>
      <c r="H235"/>
      <c r="I235" s="154"/>
      <c r="J235"/>
      <c r="K235" s="154"/>
      <c r="L235" s="154"/>
      <c r="M235"/>
      <c r="N235"/>
      <c r="O235" s="154"/>
      <c r="P235" s="154"/>
      <c r="Q235"/>
      <c r="R235" s="154"/>
      <c r="S235" s="156"/>
      <c r="T235" s="156"/>
      <c r="U235" s="156"/>
      <c r="V235" s="154"/>
      <c r="W235" s="154"/>
      <c r="X235" s="155"/>
      <c r="Y235" s="155"/>
      <c r="Z235" s="154"/>
      <c r="AA235" s="148"/>
    </row>
    <row r="236" spans="1:27" ht="12.75">
      <c r="A236"/>
      <c r="B236"/>
      <c r="C236"/>
      <c r="D236"/>
      <c r="E236"/>
      <c r="F236"/>
      <c r="G236"/>
      <c r="H236"/>
      <c r="I236" s="154"/>
      <c r="J236"/>
      <c r="K236" s="154"/>
      <c r="L236" s="154"/>
      <c r="M236"/>
      <c r="N236"/>
      <c r="O236" s="154"/>
      <c r="P236" s="154"/>
      <c r="Q236"/>
      <c r="R236" s="154"/>
      <c r="S236" s="156"/>
      <c r="T236" s="156"/>
      <c r="U236" s="156"/>
      <c r="V236" s="154"/>
      <c r="W236" s="154"/>
      <c r="X236" s="155"/>
      <c r="Y236" s="155"/>
      <c r="Z236" s="154"/>
      <c r="AA236" s="148"/>
    </row>
    <row r="237" spans="1:27" ht="12.75">
      <c r="A237"/>
      <c r="B237"/>
      <c r="C237"/>
      <c r="D237"/>
      <c r="E237"/>
      <c r="F237"/>
      <c r="G237"/>
      <c r="H237"/>
      <c r="I237" s="154"/>
      <c r="J237"/>
      <c r="K237" s="154"/>
      <c r="L237" s="154"/>
      <c r="M237"/>
      <c r="N237"/>
      <c r="O237" s="154"/>
      <c r="P237" s="154"/>
      <c r="Q237"/>
      <c r="R237" s="154"/>
      <c r="S237" s="156"/>
      <c r="T237" s="156"/>
      <c r="U237" s="156"/>
      <c r="V237" s="154"/>
      <c r="W237" s="154"/>
      <c r="X237" s="155"/>
      <c r="Y237" s="155"/>
      <c r="Z237" s="154"/>
      <c r="AA237" s="148"/>
    </row>
    <row r="238" spans="1:27" ht="12.75">
      <c r="A238"/>
      <c r="B238"/>
      <c r="C238"/>
      <c r="D238"/>
      <c r="E238"/>
      <c r="F238"/>
      <c r="G238"/>
      <c r="H238"/>
      <c r="I238" s="154"/>
      <c r="J238"/>
      <c r="K238" s="154"/>
      <c r="L238" s="154"/>
      <c r="M238"/>
      <c r="N238"/>
      <c r="O238" s="154"/>
      <c r="P238" s="154"/>
      <c r="Q238"/>
      <c r="R238" s="154"/>
      <c r="S238" s="156"/>
      <c r="T238" s="156"/>
      <c r="U238" s="156"/>
      <c r="V238" s="154"/>
      <c r="W238" s="154"/>
      <c r="X238" s="155"/>
      <c r="Y238" s="155"/>
      <c r="Z238" s="154"/>
      <c r="AA238" s="148"/>
    </row>
    <row r="239" spans="1:27" ht="12.75">
      <c r="A239"/>
      <c r="B239"/>
      <c r="C239"/>
      <c r="D239"/>
      <c r="E239"/>
      <c r="F239"/>
      <c r="G239"/>
      <c r="H239"/>
      <c r="I239" s="154"/>
      <c r="J239"/>
      <c r="K239" s="154"/>
      <c r="L239" s="154"/>
      <c r="M239"/>
      <c r="N239"/>
      <c r="O239" s="154"/>
      <c r="P239" s="154"/>
      <c r="Q239"/>
      <c r="R239" s="154"/>
      <c r="S239" s="156"/>
      <c r="T239" s="156"/>
      <c r="U239" s="156"/>
      <c r="V239" s="154"/>
      <c r="W239" s="154"/>
      <c r="X239" s="155"/>
      <c r="Y239" s="155"/>
      <c r="Z239" s="154"/>
      <c r="AA239" s="148"/>
    </row>
    <row r="240" spans="1:27" ht="12.75">
      <c r="A240"/>
      <c r="B240"/>
      <c r="C240"/>
      <c r="D240"/>
      <c r="E240"/>
      <c r="F240"/>
      <c r="G240"/>
      <c r="H240"/>
      <c r="I240" s="154"/>
      <c r="J240"/>
      <c r="K240" s="154"/>
      <c r="L240" s="154"/>
      <c r="M240"/>
      <c r="N240"/>
      <c r="O240" s="154"/>
      <c r="P240" s="154"/>
      <c r="Q240"/>
      <c r="R240" s="154"/>
      <c r="S240" s="156"/>
      <c r="T240" s="156"/>
      <c r="U240" s="156"/>
      <c r="V240" s="154"/>
      <c r="W240" s="154"/>
      <c r="X240" s="155"/>
      <c r="Y240" s="155"/>
      <c r="Z240" s="154"/>
      <c r="AA240" s="148"/>
    </row>
    <row r="241" spans="1:27" ht="12.75">
      <c r="A241"/>
      <c r="B241"/>
      <c r="C241"/>
      <c r="D241"/>
      <c r="E241"/>
      <c r="F241"/>
      <c r="G241"/>
      <c r="H241"/>
      <c r="I241" s="154"/>
      <c r="J241"/>
      <c r="K241" s="154"/>
      <c r="L241" s="154"/>
      <c r="M241"/>
      <c r="N241"/>
      <c r="O241" s="154"/>
      <c r="P241" s="154"/>
      <c r="Q241"/>
      <c r="R241" s="154"/>
      <c r="S241" s="156"/>
      <c r="T241" s="156"/>
      <c r="U241" s="156"/>
      <c r="V241" s="154"/>
      <c r="W241" s="154"/>
      <c r="X241" s="155"/>
      <c r="Y241" s="155"/>
      <c r="Z241" s="154"/>
      <c r="AA241" s="148"/>
    </row>
    <row r="242" spans="1:27" ht="12.75">
      <c r="A242"/>
      <c r="B242"/>
      <c r="C242"/>
      <c r="D242"/>
      <c r="E242"/>
      <c r="F242"/>
      <c r="G242"/>
      <c r="H242"/>
      <c r="I242" s="154"/>
      <c r="J242"/>
      <c r="K242" s="154"/>
      <c r="L242" s="154"/>
      <c r="M242"/>
      <c r="N242"/>
      <c r="O242" s="154"/>
      <c r="P242" s="154"/>
      <c r="Q242"/>
      <c r="R242" s="154"/>
      <c r="S242" s="156"/>
      <c r="T242" s="156"/>
      <c r="U242" s="156"/>
      <c r="V242" s="154"/>
      <c r="W242" s="154"/>
      <c r="X242" s="155"/>
      <c r="Y242" s="155"/>
      <c r="Z242" s="154"/>
      <c r="AA242" s="148"/>
    </row>
    <row r="243" spans="1:27" ht="12.75">
      <c r="A243"/>
      <c r="B243"/>
      <c r="C243"/>
      <c r="D243"/>
      <c r="E243"/>
      <c r="F243"/>
      <c r="G243"/>
      <c r="H243"/>
      <c r="I243" s="154"/>
      <c r="J243"/>
      <c r="K243" s="154"/>
      <c r="L243" s="154"/>
      <c r="M243"/>
      <c r="N243"/>
      <c r="O243" s="154"/>
      <c r="P243" s="154"/>
      <c r="Q243"/>
      <c r="R243" s="154"/>
      <c r="S243" s="156"/>
      <c r="T243" s="156"/>
      <c r="U243" s="156"/>
      <c r="V243" s="154"/>
      <c r="W243" s="154"/>
      <c r="X243" s="155"/>
      <c r="Y243" s="155"/>
      <c r="Z243" s="154"/>
      <c r="AA243" s="148"/>
    </row>
    <row r="244" spans="1:27" ht="12.75">
      <c r="A244"/>
      <c r="B244"/>
      <c r="C244"/>
      <c r="D244"/>
      <c r="E244"/>
      <c r="F244"/>
      <c r="G244"/>
      <c r="H244"/>
      <c r="I244" s="154"/>
      <c r="J244"/>
      <c r="K244" s="154"/>
      <c r="L244" s="154"/>
      <c r="M244"/>
      <c r="N244"/>
      <c r="O244" s="154"/>
      <c r="P244" s="154"/>
      <c r="Q244"/>
      <c r="R244" s="154"/>
      <c r="S244" s="156"/>
      <c r="T244" s="156"/>
      <c r="U244" s="156"/>
      <c r="V244" s="154"/>
      <c r="W244" s="154"/>
      <c r="X244" s="155"/>
      <c r="Y244" s="155"/>
      <c r="Z244" s="154"/>
      <c r="AA244" s="148"/>
    </row>
    <row r="245" spans="1:27" ht="12.75">
      <c r="A245"/>
      <c r="B245"/>
      <c r="C245"/>
      <c r="D245"/>
      <c r="E245"/>
      <c r="F245"/>
      <c r="G245"/>
      <c r="H245"/>
      <c r="I245" s="154"/>
      <c r="J245"/>
      <c r="K245" s="154"/>
      <c r="L245" s="154"/>
      <c r="M245"/>
      <c r="N245"/>
      <c r="O245" s="154"/>
      <c r="P245" s="154"/>
      <c r="Q245"/>
      <c r="R245" s="154"/>
      <c r="S245" s="156"/>
      <c r="T245" s="156"/>
      <c r="U245" s="156"/>
      <c r="V245" s="154"/>
      <c r="W245" s="154"/>
      <c r="X245" s="155"/>
      <c r="Y245" s="155"/>
      <c r="Z245" s="154"/>
      <c r="AA245" s="148"/>
    </row>
    <row r="246" spans="1:27" ht="12.75">
      <c r="A246"/>
      <c r="B246"/>
      <c r="C246"/>
      <c r="D246"/>
      <c r="E246"/>
      <c r="F246"/>
      <c r="G246"/>
      <c r="H246"/>
      <c r="I246" s="154"/>
      <c r="J246"/>
      <c r="K246" s="154"/>
      <c r="L246" s="154"/>
      <c r="M246"/>
      <c r="N246"/>
      <c r="O246" s="154"/>
      <c r="P246" s="154"/>
      <c r="Q246"/>
      <c r="R246" s="154"/>
      <c r="S246" s="156"/>
      <c r="T246" s="156"/>
      <c r="U246" s="156"/>
      <c r="V246" s="154"/>
      <c r="W246" s="154"/>
      <c r="X246" s="155"/>
      <c r="Y246" s="155"/>
      <c r="Z246" s="154"/>
      <c r="AA246" s="148"/>
    </row>
    <row r="247" spans="1:27" ht="12.75">
      <c r="A247"/>
      <c r="B247"/>
      <c r="C247"/>
      <c r="D247"/>
      <c r="E247"/>
      <c r="F247"/>
      <c r="G247"/>
      <c r="H247"/>
      <c r="I247" s="154"/>
      <c r="J247"/>
      <c r="K247" s="154"/>
      <c r="L247" s="154"/>
      <c r="M247"/>
      <c r="N247"/>
      <c r="O247" s="154"/>
      <c r="P247" s="154"/>
      <c r="Q247"/>
      <c r="R247" s="154"/>
      <c r="S247" s="156"/>
      <c r="T247" s="156"/>
      <c r="U247" s="156"/>
      <c r="V247" s="154"/>
      <c r="W247" s="154"/>
      <c r="X247" s="155"/>
      <c r="Y247" s="155"/>
      <c r="Z247" s="154"/>
      <c r="AA247" s="148"/>
    </row>
    <row r="248" spans="1:27" ht="12.75">
      <c r="A248"/>
      <c r="B248"/>
      <c r="C248"/>
      <c r="D248"/>
      <c r="E248"/>
      <c r="F248"/>
      <c r="G248"/>
      <c r="H248"/>
      <c r="I248" s="154"/>
      <c r="J248"/>
      <c r="K248" s="154"/>
      <c r="L248" s="154"/>
      <c r="M248"/>
      <c r="N248"/>
      <c r="O248" s="154"/>
      <c r="P248" s="154"/>
      <c r="Q248"/>
      <c r="R248" s="154"/>
      <c r="S248" s="156"/>
      <c r="T248" s="156"/>
      <c r="U248" s="156"/>
      <c r="V248" s="154"/>
      <c r="W248" s="154"/>
      <c r="X248" s="155"/>
      <c r="Y248" s="155"/>
      <c r="Z248" s="154"/>
      <c r="AA248" s="148"/>
    </row>
    <row r="249" spans="1:27" ht="12.75">
      <c r="A249"/>
      <c r="B249"/>
      <c r="C249"/>
      <c r="D249"/>
      <c r="E249"/>
      <c r="F249"/>
      <c r="G249"/>
      <c r="H249"/>
      <c r="I249" s="154"/>
      <c r="J249"/>
      <c r="K249" s="154"/>
      <c r="L249" s="154"/>
      <c r="M249"/>
      <c r="N249"/>
      <c r="O249" s="154"/>
      <c r="P249" s="154"/>
      <c r="Q249"/>
      <c r="R249" s="154"/>
      <c r="S249" s="156"/>
      <c r="T249" s="156"/>
      <c r="U249" s="156"/>
      <c r="V249" s="154"/>
      <c r="W249" s="154"/>
      <c r="X249" s="155"/>
      <c r="Y249" s="155"/>
      <c r="Z249" s="154"/>
      <c r="AA249" s="148"/>
    </row>
    <row r="250" spans="1:27" ht="12.75">
      <c r="A250"/>
      <c r="B250"/>
      <c r="C250"/>
      <c r="D250"/>
      <c r="E250"/>
      <c r="F250"/>
      <c r="G250"/>
      <c r="H250"/>
      <c r="I250" s="154"/>
      <c r="J250"/>
      <c r="K250" s="154"/>
      <c r="L250" s="154"/>
      <c r="M250"/>
      <c r="N250"/>
      <c r="O250" s="154"/>
      <c r="P250" s="154"/>
      <c r="Q250"/>
      <c r="R250" s="154"/>
      <c r="S250" s="156"/>
      <c r="T250" s="156"/>
      <c r="U250" s="156"/>
      <c r="V250" s="154"/>
      <c r="W250" s="154"/>
      <c r="X250" s="155"/>
      <c r="Y250" s="155"/>
      <c r="Z250" s="154"/>
      <c r="AA250" s="148"/>
    </row>
    <row r="251" spans="1:27" ht="12.75">
      <c r="A251"/>
      <c r="B251"/>
      <c r="C251"/>
      <c r="D251"/>
      <c r="E251"/>
      <c r="F251"/>
      <c r="G251"/>
      <c r="H251"/>
      <c r="I251" s="154"/>
      <c r="J251"/>
      <c r="K251" s="154"/>
      <c r="L251" s="154"/>
      <c r="M251"/>
      <c r="N251"/>
      <c r="O251" s="154"/>
      <c r="P251" s="154"/>
      <c r="Q251"/>
      <c r="R251" s="154"/>
      <c r="S251" s="156"/>
      <c r="T251" s="156"/>
      <c r="U251" s="156"/>
      <c r="V251" s="154"/>
      <c r="W251" s="154"/>
      <c r="X251" s="155"/>
      <c r="Y251" s="155"/>
      <c r="Z251" s="154"/>
      <c r="AA251" s="148"/>
    </row>
    <row r="252" spans="1:27" ht="12.75">
      <c r="A252"/>
      <c r="B252"/>
      <c r="C252"/>
      <c r="D252"/>
      <c r="E252"/>
      <c r="F252"/>
      <c r="G252"/>
      <c r="H252"/>
      <c r="I252" s="154"/>
      <c r="J252"/>
      <c r="K252" s="154"/>
      <c r="L252" s="154"/>
      <c r="M252"/>
      <c r="N252"/>
      <c r="O252" s="154"/>
      <c r="P252" s="154"/>
      <c r="Q252"/>
      <c r="R252" s="154"/>
      <c r="S252" s="156"/>
      <c r="T252" s="156"/>
      <c r="U252" s="156"/>
      <c r="V252" s="154"/>
      <c r="W252" s="154"/>
      <c r="X252" s="155"/>
      <c r="Y252" s="155"/>
      <c r="Z252" s="154"/>
      <c r="AA252" s="148"/>
    </row>
    <row r="253" spans="1:27" ht="12.75">
      <c r="A253"/>
      <c r="B253"/>
      <c r="C253"/>
      <c r="D253"/>
      <c r="E253"/>
      <c r="F253"/>
      <c r="G253"/>
      <c r="H253"/>
      <c r="I253" s="154"/>
      <c r="J253"/>
      <c r="K253" s="154"/>
      <c r="L253" s="154"/>
      <c r="M253"/>
      <c r="N253"/>
      <c r="O253" s="154"/>
      <c r="P253" s="154"/>
      <c r="Q253"/>
      <c r="R253" s="154"/>
      <c r="S253" s="156"/>
      <c r="T253" s="156"/>
      <c r="U253" s="156"/>
      <c r="V253" s="154"/>
      <c r="W253" s="154"/>
      <c r="X253" s="155"/>
      <c r="Y253" s="155"/>
      <c r="Z253" s="154"/>
      <c r="AA253" s="148"/>
    </row>
    <row r="254" spans="1:27" ht="12.75">
      <c r="A254"/>
      <c r="B254"/>
      <c r="C254"/>
      <c r="D254"/>
      <c r="E254"/>
      <c r="F254"/>
      <c r="G254"/>
      <c r="H254"/>
      <c r="I254" s="154"/>
      <c r="J254"/>
      <c r="K254" s="154"/>
      <c r="L254" s="154"/>
      <c r="M254"/>
      <c r="N254"/>
      <c r="O254" s="154"/>
      <c r="P254" s="154"/>
      <c r="Q254"/>
      <c r="R254" s="154"/>
      <c r="S254" s="156"/>
      <c r="T254" s="156"/>
      <c r="U254" s="156"/>
      <c r="V254" s="154"/>
      <c r="W254" s="154"/>
      <c r="X254" s="155"/>
      <c r="Y254" s="155"/>
      <c r="Z254" s="154"/>
      <c r="AA254" s="148"/>
    </row>
    <row r="255" spans="1:27" ht="12.75">
      <c r="A255"/>
      <c r="B255"/>
      <c r="C255"/>
      <c r="D255"/>
      <c r="E255"/>
      <c r="F255"/>
      <c r="G255"/>
      <c r="H255"/>
      <c r="I255" s="154"/>
      <c r="J255"/>
      <c r="K255" s="154"/>
      <c r="L255" s="154"/>
      <c r="M255"/>
      <c r="N255"/>
      <c r="O255" s="154"/>
      <c r="P255" s="154"/>
      <c r="Q255"/>
      <c r="R255" s="154"/>
      <c r="S255" s="156"/>
      <c r="T255" s="156"/>
      <c r="U255" s="156"/>
      <c r="V255" s="154"/>
      <c r="W255" s="154"/>
      <c r="X255" s="155"/>
      <c r="Y255" s="155"/>
      <c r="Z255" s="154"/>
      <c r="AA255" s="148"/>
    </row>
    <row r="256" spans="1:27" ht="12.75">
      <c r="A256"/>
      <c r="B256"/>
      <c r="C256"/>
      <c r="D256"/>
      <c r="E256"/>
      <c r="F256"/>
      <c r="G256"/>
      <c r="H256"/>
      <c r="I256" s="154"/>
      <c r="J256"/>
      <c r="K256" s="154"/>
      <c r="L256" s="154"/>
      <c r="M256"/>
      <c r="N256"/>
      <c r="O256" s="154"/>
      <c r="P256" s="154"/>
      <c r="Q256"/>
      <c r="R256" s="154"/>
      <c r="S256" s="156"/>
      <c r="T256" s="156"/>
      <c r="U256" s="156"/>
      <c r="V256" s="154"/>
      <c r="W256" s="154"/>
      <c r="X256" s="155"/>
      <c r="Y256" s="155"/>
      <c r="Z256" s="154"/>
      <c r="AA256" s="148"/>
    </row>
    <row r="257" spans="1:27" ht="12.75">
      <c r="A257"/>
      <c r="B257"/>
      <c r="C257"/>
      <c r="D257"/>
      <c r="E257"/>
      <c r="F257"/>
      <c r="G257"/>
      <c r="H257"/>
      <c r="I257" s="154"/>
      <c r="J257"/>
      <c r="K257" s="154"/>
      <c r="L257" s="154"/>
      <c r="M257"/>
      <c r="N257"/>
      <c r="O257" s="154"/>
      <c r="P257" s="154"/>
      <c r="Q257"/>
      <c r="R257" s="154"/>
      <c r="S257" s="156"/>
      <c r="T257" s="156"/>
      <c r="U257" s="156"/>
      <c r="V257" s="154"/>
      <c r="W257" s="154"/>
      <c r="X257" s="155"/>
      <c r="Y257" s="155"/>
      <c r="Z257" s="154"/>
      <c r="AA257" s="148"/>
    </row>
    <row r="258" spans="1:27" ht="12.75">
      <c r="A258"/>
      <c r="B258"/>
      <c r="C258"/>
      <c r="D258"/>
      <c r="E258"/>
      <c r="F258"/>
      <c r="G258"/>
      <c r="H258"/>
      <c r="I258" s="154"/>
      <c r="J258"/>
      <c r="K258" s="154"/>
      <c r="L258" s="154"/>
      <c r="M258"/>
      <c r="N258"/>
      <c r="O258" s="154"/>
      <c r="P258" s="154"/>
      <c r="Q258"/>
      <c r="R258" s="154"/>
      <c r="S258" s="156"/>
      <c r="T258" s="156"/>
      <c r="U258" s="156"/>
      <c r="V258" s="154"/>
      <c r="W258" s="154"/>
      <c r="X258" s="155"/>
      <c r="Y258" s="155"/>
      <c r="Z258" s="154"/>
      <c r="AA258" s="148"/>
    </row>
    <row r="259" spans="1:27" ht="12.75">
      <c r="A259"/>
      <c r="B259"/>
      <c r="C259"/>
      <c r="D259"/>
      <c r="E259"/>
      <c r="F259"/>
      <c r="G259"/>
      <c r="H259"/>
      <c r="I259" s="154"/>
      <c r="J259"/>
      <c r="K259" s="154"/>
      <c r="L259" s="154"/>
      <c r="M259"/>
      <c r="N259"/>
      <c r="O259" s="154"/>
      <c r="P259" s="154"/>
      <c r="Q259"/>
      <c r="R259" s="154"/>
      <c r="S259" s="156"/>
      <c r="T259" s="156"/>
      <c r="U259" s="156"/>
      <c r="V259" s="154"/>
      <c r="W259" s="154"/>
      <c r="X259" s="155"/>
      <c r="Y259" s="155"/>
      <c r="Z259" s="154"/>
      <c r="AA259" s="148"/>
    </row>
    <row r="260" spans="1:27" ht="12.75">
      <c r="A260"/>
      <c r="B260"/>
      <c r="C260"/>
      <c r="D260"/>
      <c r="E260"/>
      <c r="F260"/>
      <c r="G260"/>
      <c r="H260"/>
      <c r="I260" s="154"/>
      <c r="J260"/>
      <c r="K260" s="154"/>
      <c r="L260" s="154"/>
      <c r="M260"/>
      <c r="N260"/>
      <c r="O260" s="154"/>
      <c r="P260" s="154"/>
      <c r="Q260"/>
      <c r="R260" s="154"/>
      <c r="S260" s="156"/>
      <c r="T260" s="156"/>
      <c r="U260" s="156"/>
      <c r="V260" s="154"/>
      <c r="W260" s="154"/>
      <c r="X260" s="155"/>
      <c r="Y260" s="155"/>
      <c r="Z260" s="154"/>
      <c r="AA260" s="148"/>
    </row>
    <row r="261" spans="1:27" ht="12.75">
      <c r="A261"/>
      <c r="B261"/>
      <c r="C261"/>
      <c r="D261"/>
      <c r="E261"/>
      <c r="F261"/>
      <c r="G261"/>
      <c r="H261"/>
      <c r="I261" s="154"/>
      <c r="J261"/>
      <c r="K261" s="154"/>
      <c r="L261" s="154"/>
      <c r="M261"/>
      <c r="N261"/>
      <c r="O261" s="154"/>
      <c r="P261" s="154"/>
      <c r="Q261"/>
      <c r="R261" s="154"/>
      <c r="S261" s="156"/>
      <c r="T261" s="156"/>
      <c r="U261" s="156"/>
      <c r="V261" s="154"/>
      <c r="W261" s="154"/>
      <c r="X261" s="155"/>
      <c r="Y261" s="155"/>
      <c r="Z261" s="154"/>
      <c r="AA261" s="148"/>
    </row>
    <row r="262" spans="1:27" ht="12.75">
      <c r="A262"/>
      <c r="B262"/>
      <c r="C262"/>
      <c r="D262"/>
      <c r="E262"/>
      <c r="F262"/>
      <c r="G262"/>
      <c r="H262"/>
      <c r="I262" s="154"/>
      <c r="J262"/>
      <c r="K262" s="154"/>
      <c r="L262" s="154"/>
      <c r="M262"/>
      <c r="N262"/>
      <c r="O262" s="154"/>
      <c r="P262" s="154"/>
      <c r="Q262"/>
      <c r="R262" s="154"/>
      <c r="S262" s="156"/>
      <c r="T262" s="156"/>
      <c r="U262" s="156"/>
      <c r="V262" s="154"/>
      <c r="W262" s="154"/>
      <c r="X262" s="155"/>
      <c r="Y262" s="155"/>
      <c r="Z262" s="154"/>
      <c r="AA262" s="148"/>
    </row>
    <row r="263" spans="1:27" ht="12.75">
      <c r="A263"/>
      <c r="B263"/>
      <c r="C263"/>
      <c r="D263"/>
      <c r="E263"/>
      <c r="F263"/>
      <c r="G263"/>
      <c r="H263"/>
      <c r="I263" s="154"/>
      <c r="J263"/>
      <c r="K263" s="154"/>
      <c r="L263" s="154"/>
      <c r="M263"/>
      <c r="N263"/>
      <c r="O263" s="154"/>
      <c r="P263" s="154"/>
      <c r="Q263"/>
      <c r="R263" s="154"/>
      <c r="S263" s="156"/>
      <c r="T263" s="156"/>
      <c r="U263" s="156"/>
      <c r="V263" s="154"/>
      <c r="W263" s="154"/>
      <c r="X263" s="155"/>
      <c r="Y263" s="155"/>
      <c r="Z263" s="154"/>
      <c r="AA263" s="148"/>
    </row>
    <row r="264" spans="1:27" ht="12.75">
      <c r="A264"/>
      <c r="B264"/>
      <c r="C264"/>
      <c r="D264"/>
      <c r="E264"/>
      <c r="F264"/>
      <c r="G264"/>
      <c r="H264"/>
      <c r="I264" s="154"/>
      <c r="J264"/>
      <c r="K264" s="154"/>
      <c r="L264" s="154"/>
      <c r="M264"/>
      <c r="N264"/>
      <c r="O264" s="154"/>
      <c r="P264" s="154"/>
      <c r="Q264"/>
      <c r="R264" s="154"/>
      <c r="S264" s="156"/>
      <c r="T264" s="156"/>
      <c r="U264" s="156"/>
      <c r="V264" s="154"/>
      <c r="W264" s="154"/>
      <c r="X264" s="155"/>
      <c r="Y264" s="155"/>
      <c r="Z264" s="154"/>
      <c r="AA264" s="148"/>
    </row>
    <row r="265" spans="1:27" ht="12.75">
      <c r="A265"/>
      <c r="B265"/>
      <c r="C265"/>
      <c r="D265"/>
      <c r="E265"/>
      <c r="F265"/>
      <c r="G265"/>
      <c r="H265"/>
      <c r="I265" s="154"/>
      <c r="J265"/>
      <c r="K265" s="154"/>
      <c r="L265" s="154"/>
      <c r="M265"/>
      <c r="N265"/>
      <c r="O265" s="154"/>
      <c r="P265" s="154"/>
      <c r="Q265"/>
      <c r="R265" s="154"/>
      <c r="S265" s="156"/>
      <c r="T265" s="156"/>
      <c r="U265" s="156"/>
      <c r="V265" s="154"/>
      <c r="W265" s="154"/>
      <c r="X265" s="155"/>
      <c r="Y265" s="155"/>
      <c r="Z265" s="154"/>
      <c r="AA265" s="148"/>
    </row>
    <row r="266" spans="1:27" ht="12.75">
      <c r="A266"/>
      <c r="B266"/>
      <c r="C266"/>
      <c r="D266"/>
      <c r="E266"/>
      <c r="F266"/>
      <c r="G266"/>
      <c r="H266"/>
      <c r="I266" s="154"/>
      <c r="J266"/>
      <c r="K266" s="154"/>
      <c r="L266" s="154"/>
      <c r="M266"/>
      <c r="N266"/>
      <c r="O266" s="154"/>
      <c r="P266" s="154"/>
      <c r="Q266"/>
      <c r="R266" s="154"/>
      <c r="S266" s="156"/>
      <c r="T266" s="156"/>
      <c r="U266" s="156"/>
      <c r="V266" s="154"/>
      <c r="W266" s="154"/>
      <c r="X266" s="155"/>
      <c r="Y266" s="155"/>
      <c r="Z266" s="154"/>
      <c r="AA266" s="148"/>
    </row>
    <row r="267" spans="1:27" ht="12.75">
      <c r="A267"/>
      <c r="B267"/>
      <c r="C267"/>
      <c r="D267"/>
      <c r="E267"/>
      <c r="F267"/>
      <c r="G267"/>
      <c r="H267"/>
      <c r="I267" s="154"/>
      <c r="J267"/>
      <c r="K267" s="154"/>
      <c r="L267" s="154"/>
      <c r="M267"/>
      <c r="N267"/>
      <c r="O267" s="154"/>
      <c r="P267" s="154"/>
      <c r="Q267"/>
      <c r="R267" s="154"/>
      <c r="S267" s="156"/>
      <c r="T267" s="156"/>
      <c r="U267" s="156"/>
      <c r="V267" s="154"/>
      <c r="W267" s="154"/>
      <c r="X267" s="155"/>
      <c r="Y267" s="155"/>
      <c r="Z267" s="154"/>
      <c r="AA267" s="148"/>
    </row>
    <row r="268" spans="1:27" ht="12.75">
      <c r="A268"/>
      <c r="B268"/>
      <c r="C268"/>
      <c r="D268"/>
      <c r="E268"/>
      <c r="F268"/>
      <c r="G268"/>
      <c r="H268"/>
      <c r="I268" s="154"/>
      <c r="J268"/>
      <c r="K268" s="154"/>
      <c r="L268" s="154"/>
      <c r="M268"/>
      <c r="N268"/>
      <c r="O268" s="154"/>
      <c r="P268" s="154"/>
      <c r="Q268"/>
      <c r="R268" s="154"/>
      <c r="S268" s="156"/>
      <c r="T268" s="156"/>
      <c r="U268" s="156"/>
      <c r="V268" s="154"/>
      <c r="W268" s="154"/>
      <c r="X268" s="155"/>
      <c r="Y268" s="155"/>
      <c r="Z268" s="154"/>
      <c r="AA268" s="148"/>
    </row>
    <row r="269" spans="1:27" ht="12.75">
      <c r="A269"/>
      <c r="B269"/>
      <c r="C269"/>
      <c r="D269"/>
      <c r="E269"/>
      <c r="F269"/>
      <c r="G269"/>
      <c r="H269"/>
      <c r="I269" s="154"/>
      <c r="J269"/>
      <c r="K269" s="154"/>
      <c r="L269" s="154"/>
      <c r="M269"/>
      <c r="N269"/>
      <c r="O269" s="154"/>
      <c r="P269" s="154"/>
      <c r="Q269"/>
      <c r="R269" s="154"/>
      <c r="S269" s="156"/>
      <c r="T269" s="156"/>
      <c r="U269" s="156"/>
      <c r="V269" s="154"/>
      <c r="W269" s="154"/>
      <c r="X269" s="155"/>
      <c r="Y269" s="155"/>
      <c r="Z269" s="154"/>
      <c r="AA269" s="148"/>
    </row>
    <row r="270" spans="1:27" ht="12.75">
      <c r="A270"/>
      <c r="B270"/>
      <c r="C270"/>
      <c r="D270"/>
      <c r="E270"/>
      <c r="F270"/>
      <c r="G270"/>
      <c r="H270"/>
      <c r="I270" s="154"/>
      <c r="J270"/>
      <c r="K270" s="154"/>
      <c r="L270" s="154"/>
      <c r="M270"/>
      <c r="N270"/>
      <c r="O270" s="154"/>
      <c r="P270" s="154"/>
      <c r="Q270"/>
      <c r="R270" s="154"/>
      <c r="S270" s="156"/>
      <c r="T270" s="156"/>
      <c r="U270" s="156"/>
      <c r="V270" s="154"/>
      <c r="W270" s="154"/>
      <c r="X270" s="155"/>
      <c r="Y270" s="155"/>
      <c r="Z270" s="154"/>
      <c r="AA270" s="148"/>
    </row>
    <row r="271" spans="1:27" ht="12.75">
      <c r="A271"/>
      <c r="B271"/>
      <c r="C271"/>
      <c r="D271"/>
      <c r="E271"/>
      <c r="F271"/>
      <c r="G271"/>
      <c r="H271"/>
      <c r="I271" s="154"/>
      <c r="J271"/>
      <c r="K271" s="154"/>
      <c r="L271" s="154"/>
      <c r="M271"/>
      <c r="N271"/>
      <c r="O271" s="154"/>
      <c r="P271" s="154"/>
      <c r="Q271"/>
      <c r="R271" s="154"/>
      <c r="S271" s="156"/>
      <c r="T271" s="156"/>
      <c r="U271" s="156"/>
      <c r="V271" s="154"/>
      <c r="W271" s="154"/>
      <c r="X271" s="155"/>
      <c r="Y271" s="155"/>
      <c r="Z271" s="154"/>
      <c r="AA271" s="148"/>
    </row>
    <row r="272" spans="1:27" ht="12.75">
      <c r="A272"/>
      <c r="B272"/>
      <c r="C272"/>
      <c r="D272"/>
      <c r="E272"/>
      <c r="F272"/>
      <c r="G272"/>
      <c r="H272"/>
      <c r="I272" s="154"/>
      <c r="J272"/>
      <c r="K272" s="154"/>
      <c r="L272" s="154"/>
      <c r="M272"/>
      <c r="N272"/>
      <c r="O272" s="154"/>
      <c r="P272" s="154"/>
      <c r="Q272"/>
      <c r="R272" s="154"/>
      <c r="S272" s="156"/>
      <c r="T272" s="156"/>
      <c r="U272" s="156"/>
      <c r="V272" s="154"/>
      <c r="W272" s="154"/>
      <c r="X272" s="155"/>
      <c r="Y272" s="155"/>
      <c r="Z272" s="154"/>
      <c r="AA272" s="148"/>
    </row>
    <row r="273" spans="1:27" ht="12.75">
      <c r="A273"/>
      <c r="B273"/>
      <c r="C273"/>
      <c r="D273"/>
      <c r="E273"/>
      <c r="F273"/>
      <c r="G273"/>
      <c r="H273"/>
      <c r="I273" s="154"/>
      <c r="J273"/>
      <c r="K273" s="154"/>
      <c r="L273" s="154"/>
      <c r="M273"/>
      <c r="N273"/>
      <c r="O273" s="154"/>
      <c r="P273" s="154"/>
      <c r="Q273"/>
      <c r="R273" s="154"/>
      <c r="S273" s="156"/>
      <c r="T273" s="156"/>
      <c r="U273" s="156"/>
      <c r="V273" s="154"/>
      <c r="W273" s="154"/>
      <c r="X273" s="155"/>
      <c r="Y273" s="155"/>
      <c r="Z273" s="154"/>
      <c r="AA273" s="148"/>
    </row>
    <row r="274" spans="1:27" ht="12.75">
      <c r="A274"/>
      <c r="B274"/>
      <c r="C274"/>
      <c r="D274"/>
      <c r="E274"/>
      <c r="F274"/>
      <c r="G274"/>
      <c r="H274"/>
      <c r="I274" s="154"/>
      <c r="J274"/>
      <c r="K274" s="154"/>
      <c r="L274" s="154"/>
      <c r="M274"/>
      <c r="N274"/>
      <c r="O274" s="154"/>
      <c r="P274" s="154"/>
      <c r="Q274"/>
      <c r="R274" s="154"/>
      <c r="S274" s="156"/>
      <c r="T274" s="156"/>
      <c r="U274" s="156"/>
      <c r="V274" s="154"/>
      <c r="W274" s="154"/>
      <c r="X274" s="155"/>
      <c r="Y274" s="155"/>
      <c r="Z274" s="154"/>
      <c r="AA274" s="148"/>
    </row>
    <row r="275" spans="1:27" ht="12.75">
      <c r="A275"/>
      <c r="B275"/>
      <c r="C275"/>
      <c r="D275"/>
      <c r="E275"/>
      <c r="F275"/>
      <c r="G275"/>
      <c r="H275"/>
      <c r="I275" s="154"/>
      <c r="J275"/>
      <c r="K275" s="154"/>
      <c r="L275" s="154"/>
      <c r="M275"/>
      <c r="N275"/>
      <c r="O275" s="154"/>
      <c r="P275" s="154"/>
      <c r="Q275"/>
      <c r="R275" s="154"/>
      <c r="S275" s="156"/>
      <c r="T275" s="156"/>
      <c r="U275" s="156"/>
      <c r="V275" s="154"/>
      <c r="W275" s="154"/>
      <c r="X275" s="155"/>
      <c r="Y275" s="155"/>
      <c r="Z275" s="154"/>
      <c r="AA275" s="148"/>
    </row>
    <row r="276" spans="1:27" ht="12.75">
      <c r="A276"/>
      <c r="B276"/>
      <c r="C276"/>
      <c r="D276"/>
      <c r="E276"/>
      <c r="F276"/>
      <c r="G276"/>
      <c r="H276"/>
      <c r="I276" s="154"/>
      <c r="J276"/>
      <c r="K276" s="154"/>
      <c r="L276" s="154"/>
      <c r="M276"/>
      <c r="N276"/>
      <c r="O276" s="154"/>
      <c r="P276" s="154"/>
      <c r="Q276"/>
      <c r="R276" s="154"/>
      <c r="S276" s="156"/>
      <c r="T276" s="156"/>
      <c r="U276" s="156"/>
      <c r="V276" s="154"/>
      <c r="W276" s="154"/>
      <c r="X276" s="155"/>
      <c r="Y276" s="155"/>
      <c r="Z276" s="154"/>
      <c r="AA276" s="148"/>
    </row>
    <row r="277" spans="1:27" ht="12.75">
      <c r="A277"/>
      <c r="B277"/>
      <c r="C277"/>
      <c r="D277"/>
      <c r="E277"/>
      <c r="F277"/>
      <c r="G277"/>
      <c r="H277"/>
      <c r="I277" s="154"/>
      <c r="J277"/>
      <c r="K277" s="154"/>
      <c r="L277" s="154"/>
      <c r="M277"/>
      <c r="N277"/>
      <c r="O277" s="154"/>
      <c r="P277" s="154"/>
      <c r="Q277"/>
      <c r="R277" s="154"/>
      <c r="S277" s="156"/>
      <c r="T277" s="156"/>
      <c r="U277" s="156"/>
      <c r="V277" s="154"/>
      <c r="W277" s="154"/>
      <c r="X277" s="155"/>
      <c r="Y277" s="155"/>
      <c r="Z277" s="154"/>
      <c r="AA277" s="148"/>
    </row>
    <row r="278" spans="1:27" ht="12.75">
      <c r="A278"/>
      <c r="B278"/>
      <c r="C278"/>
      <c r="D278"/>
      <c r="E278"/>
      <c r="F278"/>
      <c r="G278"/>
      <c r="H278"/>
      <c r="I278" s="154"/>
      <c r="J278"/>
      <c r="K278" s="154"/>
      <c r="L278" s="154"/>
      <c r="M278"/>
      <c r="N278"/>
      <c r="O278" s="154"/>
      <c r="P278" s="154"/>
      <c r="Q278"/>
      <c r="R278" s="154"/>
      <c r="S278" s="156"/>
      <c r="T278" s="156"/>
      <c r="U278" s="156"/>
      <c r="V278" s="154"/>
      <c r="W278" s="154"/>
      <c r="X278" s="155"/>
      <c r="Y278" s="155"/>
      <c r="Z278" s="154"/>
      <c r="AA278" s="148"/>
    </row>
    <row r="279" spans="1:27" ht="12.75">
      <c r="A279"/>
      <c r="B279"/>
      <c r="C279"/>
      <c r="D279"/>
      <c r="E279"/>
      <c r="F279"/>
      <c r="G279"/>
      <c r="H279"/>
      <c r="I279" s="154"/>
      <c r="J279"/>
      <c r="K279" s="154"/>
      <c r="L279" s="154"/>
      <c r="M279"/>
      <c r="N279"/>
      <c r="O279" s="154"/>
      <c r="P279" s="154"/>
      <c r="Q279"/>
      <c r="R279" s="154"/>
      <c r="S279" s="156"/>
      <c r="T279" s="156"/>
      <c r="U279" s="156"/>
      <c r="V279" s="154"/>
      <c r="W279" s="154"/>
      <c r="X279" s="155"/>
      <c r="Y279" s="155"/>
      <c r="Z279" s="154"/>
      <c r="AA279" s="148"/>
    </row>
    <row r="280" spans="1:27" ht="12.75">
      <c r="A280"/>
      <c r="B280"/>
      <c r="C280"/>
      <c r="D280"/>
      <c r="E280"/>
      <c r="F280"/>
      <c r="G280"/>
      <c r="H280"/>
      <c r="I280" s="154"/>
      <c r="J280"/>
      <c r="K280" s="154"/>
      <c r="L280" s="154"/>
      <c r="M280"/>
      <c r="N280"/>
      <c r="O280" s="154"/>
      <c r="P280" s="154"/>
      <c r="Q280"/>
      <c r="R280" s="154"/>
      <c r="S280" s="156"/>
      <c r="T280" s="156"/>
      <c r="U280" s="156"/>
      <c r="V280" s="154"/>
      <c r="W280" s="154"/>
      <c r="X280" s="155"/>
      <c r="Y280" s="155"/>
      <c r="Z280" s="154"/>
      <c r="AA280" s="148"/>
    </row>
    <row r="281" spans="1:27" ht="12.75">
      <c r="A281"/>
      <c r="B281"/>
      <c r="C281"/>
      <c r="D281"/>
      <c r="E281"/>
      <c r="F281"/>
      <c r="G281"/>
      <c r="H281"/>
      <c r="I281" s="154"/>
      <c r="J281"/>
      <c r="K281" s="154"/>
      <c r="L281" s="154"/>
      <c r="M281"/>
      <c r="N281"/>
      <c r="O281" s="154"/>
      <c r="P281" s="154"/>
      <c r="Q281"/>
      <c r="R281" s="154"/>
      <c r="S281" s="156"/>
      <c r="T281" s="156"/>
      <c r="U281" s="156"/>
      <c r="V281" s="154"/>
      <c r="W281" s="154"/>
      <c r="X281" s="155"/>
      <c r="Y281" s="155"/>
      <c r="Z281" s="154"/>
      <c r="AA281" s="148"/>
    </row>
    <row r="282" spans="1:27" ht="12.75">
      <c r="A282"/>
      <c r="B282"/>
      <c r="C282"/>
      <c r="D282"/>
      <c r="E282"/>
      <c r="F282"/>
      <c r="G282"/>
      <c r="H282"/>
      <c r="I282" s="154"/>
      <c r="J282"/>
      <c r="K282" s="154"/>
      <c r="L282" s="154"/>
      <c r="M282"/>
      <c r="N282"/>
      <c r="O282" s="154"/>
      <c r="P282" s="154"/>
      <c r="Q282"/>
      <c r="R282" s="154"/>
      <c r="S282" s="156"/>
      <c r="T282" s="156"/>
      <c r="U282" s="156"/>
      <c r="V282" s="154"/>
      <c r="W282" s="154"/>
      <c r="X282" s="155"/>
      <c r="Y282" s="155"/>
      <c r="Z282" s="154"/>
      <c r="AA282" s="148"/>
    </row>
    <row r="283" spans="1:27" ht="12.75">
      <c r="A283"/>
      <c r="B283"/>
      <c r="C283"/>
      <c r="D283"/>
      <c r="E283"/>
      <c r="F283"/>
      <c r="G283"/>
      <c r="H283"/>
      <c r="I283" s="154"/>
      <c r="J283"/>
      <c r="K283" s="154"/>
      <c r="L283" s="154"/>
      <c r="M283"/>
      <c r="N283"/>
      <c r="O283" s="154"/>
      <c r="P283" s="154"/>
      <c r="Q283"/>
      <c r="R283" s="154"/>
      <c r="S283" s="156"/>
      <c r="T283" s="156"/>
      <c r="U283" s="156"/>
      <c r="V283" s="154"/>
      <c r="W283" s="154"/>
      <c r="X283" s="155"/>
      <c r="Y283" s="155"/>
      <c r="Z283" s="154"/>
      <c r="AA283" s="148"/>
    </row>
    <row r="284" spans="1:27" ht="12.75">
      <c r="A284"/>
      <c r="B284"/>
      <c r="C284"/>
      <c r="D284"/>
      <c r="E284"/>
      <c r="F284"/>
      <c r="G284"/>
      <c r="H284"/>
      <c r="I284" s="154"/>
      <c r="J284"/>
      <c r="K284" s="154"/>
      <c r="L284" s="154"/>
      <c r="M284"/>
      <c r="N284"/>
      <c r="O284" s="154"/>
      <c r="P284" s="154"/>
      <c r="Q284"/>
      <c r="R284" s="154"/>
      <c r="S284" s="156"/>
      <c r="T284" s="156"/>
      <c r="U284" s="156"/>
      <c r="V284" s="154"/>
      <c r="W284" s="154"/>
      <c r="X284" s="155"/>
      <c r="Y284" s="155"/>
      <c r="Z284" s="154"/>
      <c r="AA284" s="148"/>
    </row>
    <row r="285" spans="1:27" ht="12.75">
      <c r="A285"/>
      <c r="B285"/>
      <c r="C285"/>
      <c r="D285"/>
      <c r="E285"/>
      <c r="F285"/>
      <c r="G285"/>
      <c r="H285"/>
      <c r="I285" s="154"/>
      <c r="J285"/>
      <c r="K285" s="154"/>
      <c r="L285" s="154"/>
      <c r="M285"/>
      <c r="N285"/>
      <c r="O285" s="154"/>
      <c r="P285" s="154"/>
      <c r="Q285"/>
      <c r="R285" s="154"/>
      <c r="S285" s="156"/>
      <c r="T285" s="156"/>
      <c r="U285" s="156"/>
      <c r="V285" s="154"/>
      <c r="W285" s="154"/>
      <c r="X285" s="155"/>
      <c r="Y285" s="155"/>
      <c r="Z285" s="154"/>
      <c r="AA285" s="148"/>
    </row>
    <row r="286" spans="1:27" ht="12.75">
      <c r="A286"/>
      <c r="B286"/>
      <c r="C286"/>
      <c r="D286"/>
      <c r="E286"/>
      <c r="F286"/>
      <c r="G286"/>
      <c r="H286"/>
      <c r="I286" s="154"/>
      <c r="J286"/>
      <c r="K286" s="154"/>
      <c r="L286" s="154"/>
      <c r="M286"/>
      <c r="N286"/>
      <c r="O286" s="154"/>
      <c r="P286" s="154"/>
      <c r="Q286"/>
      <c r="R286" s="154"/>
      <c r="S286" s="156"/>
      <c r="T286" s="156"/>
      <c r="U286" s="156"/>
      <c r="V286" s="154"/>
      <c r="W286" s="154"/>
      <c r="X286" s="155"/>
      <c r="Y286" s="155"/>
      <c r="Z286" s="154"/>
      <c r="AA286" s="148"/>
    </row>
    <row r="287" spans="1:27" ht="12.75">
      <c r="A287"/>
      <c r="B287"/>
      <c r="C287"/>
      <c r="D287"/>
      <c r="E287"/>
      <c r="F287"/>
      <c r="G287"/>
      <c r="H287"/>
      <c r="I287" s="154"/>
      <c r="J287"/>
      <c r="K287" s="154"/>
      <c r="L287" s="154"/>
      <c r="M287"/>
      <c r="N287"/>
      <c r="O287" s="154"/>
      <c r="P287" s="154"/>
      <c r="Q287"/>
      <c r="R287" s="154"/>
      <c r="S287" s="156"/>
      <c r="T287" s="156"/>
      <c r="U287" s="156"/>
      <c r="V287" s="154"/>
      <c r="W287" s="154"/>
      <c r="X287" s="155"/>
      <c r="Y287" s="155"/>
      <c r="Z287" s="154"/>
      <c r="AA287" s="148"/>
    </row>
    <row r="288" spans="1:27" ht="12.75">
      <c r="A288"/>
      <c r="B288"/>
      <c r="C288"/>
      <c r="D288"/>
      <c r="E288"/>
      <c r="F288"/>
      <c r="G288"/>
      <c r="H288"/>
      <c r="I288" s="154"/>
      <c r="J288"/>
      <c r="K288" s="154"/>
      <c r="L288" s="154"/>
      <c r="M288"/>
      <c r="N288"/>
      <c r="O288" s="154"/>
      <c r="P288" s="154"/>
      <c r="Q288"/>
      <c r="R288" s="154"/>
      <c r="S288" s="156"/>
      <c r="T288" s="156"/>
      <c r="U288" s="156"/>
      <c r="V288" s="154"/>
      <c r="W288" s="154"/>
      <c r="X288" s="155"/>
      <c r="Y288" s="155"/>
      <c r="Z288" s="154"/>
      <c r="AA288" s="148"/>
    </row>
    <row r="289" spans="1:27" ht="12.75">
      <c r="A289"/>
      <c r="B289"/>
      <c r="C289"/>
      <c r="D289"/>
      <c r="E289"/>
      <c r="F289"/>
      <c r="G289"/>
      <c r="H289"/>
      <c r="I289" s="154"/>
      <c r="J289"/>
      <c r="K289" s="154"/>
      <c r="L289" s="154"/>
      <c r="M289"/>
      <c r="N289"/>
      <c r="O289" s="154"/>
      <c r="P289" s="154"/>
      <c r="Q289"/>
      <c r="R289" s="154"/>
      <c r="S289" s="156"/>
      <c r="T289" s="156"/>
      <c r="U289" s="156"/>
      <c r="V289" s="154"/>
      <c r="W289" s="154"/>
      <c r="X289" s="155"/>
      <c r="Y289" s="155"/>
      <c r="Z289" s="154"/>
      <c r="AA289" s="148"/>
    </row>
    <row r="290" spans="1:27" ht="12.75">
      <c r="A290"/>
      <c r="B290"/>
      <c r="C290"/>
      <c r="D290"/>
      <c r="E290"/>
      <c r="F290"/>
      <c r="G290"/>
      <c r="H290"/>
      <c r="I290" s="154"/>
      <c r="J290"/>
      <c r="K290" s="154"/>
      <c r="L290" s="154"/>
      <c r="M290"/>
      <c r="N290"/>
      <c r="O290" s="154"/>
      <c r="P290" s="154"/>
      <c r="Q290"/>
      <c r="R290" s="154"/>
      <c r="S290" s="156"/>
      <c r="T290" s="156"/>
      <c r="U290" s="156"/>
      <c r="V290" s="154"/>
      <c r="W290" s="154"/>
      <c r="X290" s="155"/>
      <c r="Y290" s="155"/>
      <c r="Z290" s="154"/>
      <c r="AA290" s="148"/>
    </row>
    <row r="291" spans="1:27" ht="12.75">
      <c r="A291"/>
      <c r="B291"/>
      <c r="C291"/>
      <c r="D291"/>
      <c r="E291"/>
      <c r="F291"/>
      <c r="G291"/>
      <c r="H291"/>
      <c r="I291" s="154"/>
      <c r="J291"/>
      <c r="K291" s="154"/>
      <c r="L291" s="154"/>
      <c r="M291"/>
      <c r="N291"/>
      <c r="O291" s="154"/>
      <c r="P291" s="154"/>
      <c r="Q291"/>
      <c r="R291" s="154"/>
      <c r="S291" s="156"/>
      <c r="T291" s="156"/>
      <c r="U291" s="156"/>
      <c r="V291" s="154"/>
      <c r="W291" s="154"/>
      <c r="X291" s="155"/>
      <c r="Y291" s="155"/>
      <c r="Z291" s="154"/>
      <c r="AA291" s="148"/>
    </row>
    <row r="292" spans="1:27" ht="12.75">
      <c r="A292"/>
      <c r="B292"/>
      <c r="C292"/>
      <c r="D292"/>
      <c r="E292"/>
      <c r="F292"/>
      <c r="G292"/>
      <c r="H292"/>
      <c r="I292" s="154"/>
      <c r="J292"/>
      <c r="K292" s="154"/>
      <c r="L292" s="154"/>
      <c r="M292"/>
      <c r="N292"/>
      <c r="O292" s="154"/>
      <c r="P292" s="154"/>
      <c r="Q292"/>
      <c r="R292" s="154"/>
      <c r="S292" s="156"/>
      <c r="T292" s="156"/>
      <c r="U292" s="156"/>
      <c r="V292" s="154"/>
      <c r="W292" s="154"/>
      <c r="X292" s="155"/>
      <c r="Y292" s="155"/>
      <c r="Z292" s="154"/>
      <c r="AA292" s="148"/>
    </row>
    <row r="293" spans="1:27" ht="12.75">
      <c r="A293"/>
      <c r="B293"/>
      <c r="C293"/>
      <c r="D293"/>
      <c r="E293"/>
      <c r="F293"/>
      <c r="G293"/>
      <c r="H293"/>
      <c r="I293" s="154"/>
      <c r="J293"/>
      <c r="K293" s="154"/>
      <c r="L293" s="154"/>
      <c r="M293"/>
      <c r="N293"/>
      <c r="O293" s="154"/>
      <c r="P293" s="154"/>
      <c r="Q293"/>
      <c r="R293" s="154"/>
      <c r="S293" s="156"/>
      <c r="T293" s="156"/>
      <c r="U293" s="156"/>
      <c r="V293" s="154"/>
      <c r="W293" s="154"/>
      <c r="X293" s="155"/>
      <c r="Y293" s="155"/>
      <c r="Z293" s="154"/>
      <c r="AA293" s="148"/>
    </row>
    <row r="294" spans="1:27" ht="12.75">
      <c r="A294"/>
      <c r="B294"/>
      <c r="C294"/>
      <c r="D294"/>
      <c r="E294"/>
      <c r="F294"/>
      <c r="G294"/>
      <c r="H294"/>
      <c r="I294" s="154"/>
      <c r="J294"/>
      <c r="K294" s="154"/>
      <c r="L294" s="154"/>
      <c r="M294"/>
      <c r="N294"/>
      <c r="O294" s="154"/>
      <c r="P294" s="154"/>
      <c r="Q294"/>
      <c r="R294" s="154"/>
      <c r="S294" s="156"/>
      <c r="T294" s="156"/>
      <c r="U294" s="156"/>
      <c r="V294" s="154"/>
      <c r="W294" s="154"/>
      <c r="X294" s="155"/>
      <c r="Y294" s="155"/>
      <c r="Z294" s="154"/>
      <c r="AA294" s="148"/>
    </row>
    <row r="295" spans="1:27" ht="12.75">
      <c r="A295"/>
      <c r="B295"/>
      <c r="C295"/>
      <c r="D295"/>
      <c r="E295"/>
      <c r="F295"/>
      <c r="G295"/>
      <c r="H295"/>
      <c r="I295" s="154"/>
      <c r="J295"/>
      <c r="K295" s="154"/>
      <c r="L295" s="154"/>
      <c r="M295"/>
      <c r="N295"/>
      <c r="O295" s="154"/>
      <c r="P295" s="154"/>
      <c r="Q295"/>
      <c r="R295" s="154"/>
      <c r="S295" s="156"/>
      <c r="T295" s="156"/>
      <c r="U295" s="156"/>
      <c r="V295" s="154"/>
      <c r="W295" s="154"/>
      <c r="X295" s="155"/>
      <c r="Y295" s="155"/>
      <c r="Z295" s="154"/>
      <c r="AA295" s="148"/>
    </row>
    <row r="296" spans="1:27" ht="12.75">
      <c r="A296"/>
      <c r="B296"/>
      <c r="C296"/>
      <c r="D296"/>
      <c r="E296"/>
      <c r="F296"/>
      <c r="G296"/>
      <c r="H296"/>
      <c r="I296" s="154"/>
      <c r="J296"/>
      <c r="K296" s="154"/>
      <c r="L296" s="154"/>
      <c r="M296"/>
      <c r="N296"/>
      <c r="O296" s="154"/>
      <c r="P296" s="154"/>
      <c r="Q296"/>
      <c r="R296" s="154"/>
      <c r="S296" s="156"/>
      <c r="T296" s="156"/>
      <c r="U296" s="156"/>
      <c r="V296" s="154"/>
      <c r="W296" s="154"/>
      <c r="X296" s="155"/>
      <c r="Y296" s="155"/>
      <c r="Z296" s="154"/>
      <c r="AA296" s="148"/>
    </row>
    <row r="297" spans="1:27" ht="12.75">
      <c r="A297"/>
      <c r="B297"/>
      <c r="C297"/>
      <c r="D297"/>
      <c r="E297"/>
      <c r="F297"/>
      <c r="G297"/>
      <c r="H297"/>
      <c r="I297" s="154"/>
      <c r="J297"/>
      <c r="K297" s="154"/>
      <c r="L297" s="154"/>
      <c r="M297"/>
      <c r="N297"/>
      <c r="O297" s="154"/>
      <c r="P297" s="154"/>
      <c r="Q297"/>
      <c r="R297" s="154"/>
      <c r="S297" s="156"/>
      <c r="T297" s="156"/>
      <c r="U297" s="156"/>
      <c r="V297" s="154"/>
      <c r="W297" s="154"/>
      <c r="X297" s="155"/>
      <c r="Y297" s="155"/>
      <c r="Z297" s="154"/>
      <c r="AA297" s="148"/>
    </row>
    <row r="298" spans="1:27" ht="12.75">
      <c r="A298"/>
      <c r="B298"/>
      <c r="C298"/>
      <c r="D298"/>
      <c r="E298"/>
      <c r="F298"/>
      <c r="G298"/>
      <c r="H298"/>
      <c r="I298" s="154"/>
      <c r="J298"/>
      <c r="K298" s="154"/>
      <c r="L298" s="154"/>
      <c r="M298"/>
      <c r="N298"/>
      <c r="O298" s="154"/>
      <c r="P298" s="154"/>
      <c r="Q298"/>
      <c r="R298" s="154"/>
      <c r="S298" s="156"/>
      <c r="T298" s="156"/>
      <c r="U298" s="156"/>
      <c r="V298" s="154"/>
      <c r="W298" s="154"/>
      <c r="X298" s="155"/>
      <c r="Y298" s="155"/>
      <c r="Z298" s="154"/>
      <c r="AA298" s="148"/>
    </row>
    <row r="299" spans="1:27" ht="12.75">
      <c r="A299"/>
      <c r="B299"/>
      <c r="C299"/>
      <c r="D299"/>
      <c r="E299"/>
      <c r="F299"/>
      <c r="G299"/>
      <c r="H299"/>
      <c r="I299" s="154"/>
      <c r="J299"/>
      <c r="K299" s="154"/>
      <c r="L299" s="154"/>
      <c r="M299"/>
      <c r="N299"/>
      <c r="O299" s="154"/>
      <c r="P299" s="154"/>
      <c r="Q299"/>
      <c r="R299" s="154"/>
      <c r="S299" s="156"/>
      <c r="T299" s="156"/>
      <c r="U299" s="156"/>
      <c r="V299" s="154"/>
      <c r="W299" s="154"/>
      <c r="X299" s="155"/>
      <c r="Y299" s="155"/>
      <c r="Z299" s="154"/>
      <c r="AA299" s="148"/>
    </row>
    <row r="300" spans="1:27" ht="12.75">
      <c r="A300"/>
      <c r="B300"/>
      <c r="C300"/>
      <c r="D300"/>
      <c r="E300"/>
      <c r="F300"/>
      <c r="G300"/>
      <c r="H300"/>
      <c r="I300" s="154"/>
      <c r="J300"/>
      <c r="K300" s="154"/>
      <c r="L300" s="154"/>
      <c r="M300"/>
      <c r="N300"/>
      <c r="O300" s="154"/>
      <c r="P300" s="154"/>
      <c r="Q300"/>
      <c r="R300" s="154"/>
      <c r="S300" s="156"/>
      <c r="T300" s="156"/>
      <c r="U300" s="156"/>
      <c r="V300" s="154"/>
      <c r="W300" s="154"/>
      <c r="X300" s="155"/>
      <c r="Y300" s="155"/>
      <c r="Z300" s="154"/>
      <c r="AA300" s="148"/>
    </row>
    <row r="301" spans="1:27">
      <c r="I301" s="149"/>
      <c r="K301" s="149"/>
      <c r="L301" s="149"/>
      <c r="O301" s="153"/>
      <c r="P301" s="148"/>
      <c r="R301" s="149"/>
      <c r="S301" s="152"/>
      <c r="T301" s="152"/>
      <c r="U301" s="152"/>
      <c r="V301" s="149"/>
      <c r="W301" s="149"/>
      <c r="X301" s="151"/>
      <c r="Y301" s="150"/>
      <c r="Z301" s="149"/>
      <c r="AA301" s="148"/>
    </row>
    <row r="302" spans="1:27">
      <c r="I302" s="149"/>
      <c r="K302" s="149"/>
      <c r="L302" s="149"/>
      <c r="O302" s="153"/>
      <c r="P302" s="148"/>
      <c r="R302" s="149"/>
      <c r="S302" s="152"/>
      <c r="T302" s="152"/>
      <c r="U302" s="152"/>
      <c r="V302" s="149"/>
      <c r="W302" s="149"/>
      <c r="X302" s="151"/>
      <c r="Y302" s="150"/>
      <c r="Z302" s="149"/>
      <c r="AA302" s="148"/>
    </row>
    <row r="303" spans="1:27">
      <c r="I303" s="149"/>
      <c r="K303" s="149"/>
      <c r="L303" s="149"/>
      <c r="O303" s="153"/>
      <c r="P303" s="148"/>
      <c r="R303" s="149"/>
      <c r="S303" s="152"/>
      <c r="T303" s="152"/>
      <c r="U303" s="152"/>
      <c r="V303" s="149"/>
      <c r="W303" s="149"/>
      <c r="X303" s="151"/>
      <c r="Y303" s="150"/>
      <c r="Z303" s="149"/>
      <c r="AA303" s="148"/>
    </row>
    <row r="304" spans="1:27">
      <c r="I304" s="149"/>
      <c r="K304" s="149"/>
      <c r="L304" s="149"/>
      <c r="O304" s="153"/>
      <c r="P304" s="148"/>
      <c r="R304" s="149"/>
      <c r="S304" s="152"/>
      <c r="T304" s="152"/>
      <c r="U304" s="152"/>
      <c r="V304" s="149"/>
      <c r="W304" s="149"/>
      <c r="X304" s="151"/>
      <c r="Y304" s="150"/>
      <c r="Z304" s="149"/>
      <c r="AA304" s="148"/>
    </row>
    <row r="305" spans="9:27">
      <c r="I305" s="149"/>
      <c r="K305" s="149"/>
      <c r="L305" s="149"/>
      <c r="O305" s="153"/>
      <c r="P305" s="148"/>
      <c r="R305" s="149"/>
      <c r="S305" s="152"/>
      <c r="T305" s="152"/>
      <c r="U305" s="152"/>
      <c r="V305" s="149"/>
      <c r="W305" s="149"/>
      <c r="X305" s="151"/>
      <c r="Y305" s="150"/>
      <c r="Z305" s="149"/>
      <c r="AA305" s="148"/>
    </row>
    <row r="306" spans="9:27">
      <c r="I306" s="149"/>
      <c r="K306" s="149"/>
      <c r="L306" s="149"/>
      <c r="O306" s="153"/>
      <c r="P306" s="148"/>
      <c r="R306" s="149"/>
      <c r="S306" s="152"/>
      <c r="T306" s="152"/>
      <c r="U306" s="152"/>
      <c r="V306" s="149"/>
      <c r="W306" s="149"/>
      <c r="X306" s="151"/>
      <c r="Y306" s="150"/>
      <c r="Z306" s="149"/>
      <c r="AA306" s="148"/>
    </row>
    <row r="307" spans="9:27">
      <c r="I307" s="149"/>
      <c r="K307" s="149"/>
      <c r="L307" s="149"/>
      <c r="O307" s="153"/>
      <c r="P307" s="148"/>
      <c r="R307" s="149"/>
      <c r="S307" s="152"/>
      <c r="T307" s="152"/>
      <c r="U307" s="152"/>
      <c r="V307" s="149"/>
      <c r="W307" s="149"/>
      <c r="X307" s="151"/>
      <c r="Y307" s="150"/>
      <c r="Z307" s="149"/>
      <c r="AA307" s="148"/>
    </row>
    <row r="308" spans="9:27">
      <c r="I308" s="149"/>
      <c r="K308" s="149"/>
      <c r="L308" s="149"/>
      <c r="O308" s="153"/>
      <c r="P308" s="148"/>
      <c r="R308" s="149"/>
      <c r="S308" s="152"/>
      <c r="T308" s="152"/>
      <c r="U308" s="152"/>
      <c r="V308" s="149"/>
      <c r="W308" s="149"/>
      <c r="X308" s="151"/>
      <c r="Y308" s="150"/>
      <c r="Z308" s="149"/>
      <c r="AA308" s="148"/>
    </row>
    <row r="309" spans="9:27">
      <c r="I309" s="149"/>
      <c r="K309" s="149"/>
      <c r="L309" s="149"/>
      <c r="O309" s="153"/>
      <c r="P309" s="148"/>
      <c r="R309" s="149"/>
      <c r="S309" s="152"/>
      <c r="T309" s="152"/>
      <c r="U309" s="152"/>
      <c r="V309" s="149"/>
      <c r="W309" s="149"/>
      <c r="X309" s="151"/>
      <c r="Y309" s="150"/>
      <c r="Z309" s="149"/>
      <c r="AA309" s="148"/>
    </row>
    <row r="310" spans="9:27">
      <c r="I310" s="149"/>
      <c r="K310" s="149"/>
      <c r="L310" s="149"/>
      <c r="O310" s="153"/>
      <c r="P310" s="148"/>
      <c r="R310" s="149"/>
      <c r="S310" s="152"/>
      <c r="T310" s="152"/>
      <c r="U310" s="152"/>
      <c r="V310" s="149"/>
      <c r="W310" s="149"/>
      <c r="X310" s="151"/>
      <c r="Y310" s="150"/>
      <c r="Z310" s="149"/>
      <c r="AA310" s="148"/>
    </row>
    <row r="311" spans="9:27">
      <c r="I311" s="149"/>
      <c r="K311" s="149"/>
      <c r="L311" s="149"/>
      <c r="O311" s="153"/>
      <c r="P311" s="148"/>
      <c r="R311" s="149"/>
      <c r="S311" s="152"/>
      <c r="T311" s="152"/>
      <c r="U311" s="152"/>
      <c r="V311" s="149"/>
      <c r="W311" s="149"/>
      <c r="X311" s="151"/>
      <c r="Y311" s="150"/>
      <c r="Z311" s="149"/>
      <c r="AA311" s="148"/>
    </row>
    <row r="312" spans="9:27">
      <c r="I312" s="149"/>
      <c r="K312" s="149"/>
      <c r="L312" s="149"/>
      <c r="O312" s="153"/>
      <c r="P312" s="148"/>
      <c r="R312" s="149"/>
      <c r="S312" s="152"/>
      <c r="T312" s="152"/>
      <c r="U312" s="152"/>
      <c r="V312" s="149"/>
      <c r="W312" s="149"/>
      <c r="X312" s="151"/>
      <c r="Y312" s="150"/>
      <c r="Z312" s="149"/>
      <c r="AA312" s="148"/>
    </row>
    <row r="313" spans="9:27">
      <c r="I313" s="149"/>
      <c r="K313" s="149"/>
      <c r="L313" s="149"/>
      <c r="O313" s="153"/>
      <c r="P313" s="148"/>
      <c r="R313" s="149"/>
      <c r="S313" s="152"/>
      <c r="T313" s="152"/>
      <c r="U313" s="152"/>
      <c r="V313" s="149"/>
      <c r="W313" s="149"/>
      <c r="X313" s="151"/>
      <c r="Y313" s="150"/>
      <c r="Z313" s="149"/>
      <c r="AA313" s="148"/>
    </row>
    <row r="314" spans="9:27">
      <c r="I314" s="149"/>
      <c r="K314" s="149"/>
      <c r="L314" s="149"/>
      <c r="O314" s="153"/>
      <c r="P314" s="148"/>
      <c r="R314" s="149"/>
      <c r="S314" s="152"/>
      <c r="T314" s="152"/>
      <c r="U314" s="152"/>
      <c r="V314" s="149"/>
      <c r="W314" s="149"/>
      <c r="X314" s="151"/>
      <c r="Y314" s="150"/>
      <c r="Z314" s="149"/>
      <c r="AA314" s="148"/>
    </row>
    <row r="315" spans="9:27">
      <c r="I315" s="149"/>
      <c r="K315" s="149"/>
      <c r="L315" s="149"/>
      <c r="O315" s="153"/>
      <c r="P315" s="148"/>
      <c r="R315" s="149"/>
      <c r="S315" s="152"/>
      <c r="T315" s="152"/>
      <c r="U315" s="152"/>
      <c r="V315" s="149"/>
      <c r="W315" s="149"/>
      <c r="X315" s="151"/>
      <c r="Y315" s="150"/>
      <c r="Z315" s="149"/>
      <c r="AA315" s="148"/>
    </row>
    <row r="316" spans="9:27">
      <c r="I316" s="149"/>
      <c r="K316" s="149"/>
      <c r="L316" s="149"/>
      <c r="O316" s="153"/>
      <c r="P316" s="148"/>
      <c r="R316" s="149"/>
      <c r="S316" s="152"/>
      <c r="T316" s="152"/>
      <c r="U316" s="152"/>
      <c r="V316" s="149"/>
      <c r="W316" s="149"/>
      <c r="X316" s="151"/>
      <c r="Y316" s="150"/>
      <c r="Z316" s="149"/>
      <c r="AA316" s="148"/>
    </row>
    <row r="317" spans="9:27">
      <c r="I317" s="149"/>
      <c r="K317" s="149"/>
      <c r="L317" s="149"/>
      <c r="O317" s="153"/>
      <c r="P317" s="148"/>
      <c r="R317" s="149"/>
      <c r="S317" s="152"/>
      <c r="T317" s="152"/>
      <c r="U317" s="152"/>
      <c r="V317" s="149"/>
      <c r="W317" s="149"/>
      <c r="X317" s="151"/>
      <c r="Y317" s="150"/>
      <c r="Z317" s="149"/>
      <c r="AA317" s="148"/>
    </row>
    <row r="318" spans="9:27">
      <c r="I318" s="149"/>
      <c r="K318" s="149"/>
      <c r="L318" s="149"/>
      <c r="O318" s="153"/>
      <c r="P318" s="148"/>
      <c r="R318" s="149"/>
      <c r="S318" s="152"/>
      <c r="T318" s="152"/>
      <c r="U318" s="152"/>
      <c r="V318" s="149"/>
      <c r="W318" s="149"/>
      <c r="X318" s="151"/>
      <c r="Y318" s="150"/>
      <c r="Z318" s="149"/>
      <c r="AA318" s="148"/>
    </row>
    <row r="319" spans="9:27">
      <c r="I319" s="149"/>
      <c r="K319" s="149"/>
      <c r="L319" s="149"/>
      <c r="O319" s="153"/>
      <c r="P319" s="148"/>
      <c r="R319" s="149"/>
      <c r="S319" s="152"/>
      <c r="T319" s="152"/>
      <c r="U319" s="152"/>
      <c r="V319" s="149"/>
      <c r="W319" s="149"/>
      <c r="X319" s="151"/>
      <c r="Y319" s="150"/>
      <c r="Z319" s="149"/>
      <c r="AA319" s="148"/>
    </row>
    <row r="320" spans="9:27">
      <c r="I320" s="149"/>
      <c r="K320" s="149"/>
      <c r="L320" s="149"/>
      <c r="O320" s="153"/>
      <c r="P320" s="148"/>
      <c r="R320" s="149"/>
      <c r="S320" s="152"/>
      <c r="T320" s="152"/>
      <c r="U320" s="152"/>
      <c r="V320" s="149"/>
      <c r="W320" s="149"/>
      <c r="X320" s="151"/>
      <c r="Y320" s="150"/>
      <c r="Z320" s="149"/>
      <c r="AA320" s="148"/>
    </row>
    <row r="321" spans="9:27">
      <c r="I321" s="149"/>
      <c r="K321" s="149"/>
      <c r="L321" s="149"/>
      <c r="O321" s="153"/>
      <c r="P321" s="148"/>
      <c r="R321" s="149"/>
      <c r="S321" s="152"/>
      <c r="T321" s="152"/>
      <c r="U321" s="152"/>
      <c r="V321" s="149"/>
      <c r="W321" s="149"/>
      <c r="X321" s="151"/>
      <c r="Y321" s="150"/>
      <c r="Z321" s="149"/>
      <c r="AA321" s="148"/>
    </row>
    <row r="322" spans="9:27">
      <c r="I322" s="149"/>
      <c r="K322" s="149"/>
      <c r="L322" s="149"/>
      <c r="O322" s="153"/>
      <c r="P322" s="148"/>
      <c r="R322" s="149"/>
      <c r="S322" s="152"/>
      <c r="T322" s="152"/>
      <c r="U322" s="152"/>
      <c r="V322" s="149"/>
      <c r="W322" s="149"/>
      <c r="X322" s="151"/>
      <c r="Y322" s="150"/>
      <c r="Z322" s="149"/>
      <c r="AA322" s="148"/>
    </row>
    <row r="323" spans="9:27">
      <c r="I323" s="149"/>
      <c r="K323" s="149"/>
      <c r="L323" s="149"/>
      <c r="O323" s="153"/>
      <c r="P323" s="148"/>
      <c r="R323" s="149"/>
      <c r="S323" s="152"/>
      <c r="T323" s="152"/>
      <c r="U323" s="152"/>
      <c r="V323" s="149"/>
      <c r="W323" s="149"/>
      <c r="X323" s="151"/>
      <c r="Y323" s="150"/>
      <c r="Z323" s="149"/>
      <c r="AA323" s="148"/>
    </row>
    <row r="324" spans="9:27">
      <c r="I324" s="149"/>
      <c r="K324" s="149"/>
      <c r="L324" s="149"/>
      <c r="O324" s="153"/>
      <c r="P324" s="148"/>
      <c r="R324" s="149"/>
      <c r="S324" s="152"/>
      <c r="T324" s="152"/>
      <c r="U324" s="152"/>
      <c r="V324" s="149"/>
      <c r="W324" s="149"/>
      <c r="X324" s="151"/>
      <c r="Y324" s="150"/>
      <c r="Z324" s="149"/>
      <c r="AA324" s="148"/>
    </row>
    <row r="325" spans="9:27">
      <c r="I325" s="149"/>
      <c r="K325" s="149"/>
      <c r="L325" s="149"/>
      <c r="O325" s="153"/>
      <c r="P325" s="148"/>
      <c r="R325" s="149"/>
      <c r="S325" s="152"/>
      <c r="T325" s="152"/>
      <c r="U325" s="152"/>
      <c r="V325" s="149"/>
      <c r="W325" s="149"/>
      <c r="X325" s="151"/>
      <c r="Y325" s="150"/>
      <c r="Z325" s="149"/>
      <c r="AA325" s="148"/>
    </row>
    <row r="326" spans="9:27">
      <c r="I326" s="149"/>
      <c r="K326" s="149"/>
      <c r="L326" s="149"/>
      <c r="O326" s="153"/>
      <c r="P326" s="148"/>
      <c r="R326" s="149"/>
      <c r="S326" s="152"/>
      <c r="T326" s="152"/>
      <c r="U326" s="152"/>
      <c r="V326" s="149"/>
      <c r="W326" s="149"/>
      <c r="X326" s="151"/>
      <c r="Y326" s="150"/>
      <c r="Z326" s="149"/>
      <c r="AA326" s="148"/>
    </row>
    <row r="327" spans="9:27">
      <c r="I327" s="149"/>
      <c r="K327" s="149"/>
      <c r="L327" s="149"/>
      <c r="O327" s="153"/>
      <c r="P327" s="148"/>
      <c r="R327" s="149"/>
      <c r="S327" s="152"/>
      <c r="T327" s="152"/>
      <c r="U327" s="152"/>
      <c r="V327" s="149"/>
      <c r="W327" s="149"/>
      <c r="X327" s="151"/>
      <c r="Y327" s="150"/>
      <c r="Z327" s="149"/>
      <c r="AA327" s="148"/>
    </row>
    <row r="328" spans="9:27">
      <c r="I328" s="149"/>
      <c r="K328" s="149"/>
      <c r="L328" s="149"/>
      <c r="O328" s="153"/>
      <c r="P328" s="148"/>
      <c r="R328" s="149"/>
      <c r="S328" s="152"/>
      <c r="T328" s="152"/>
      <c r="U328" s="152"/>
      <c r="V328" s="149"/>
      <c r="W328" s="149"/>
      <c r="X328" s="151"/>
      <c r="Y328" s="150"/>
      <c r="Z328" s="149"/>
      <c r="AA328" s="148"/>
    </row>
    <row r="329" spans="9:27">
      <c r="I329" s="149"/>
      <c r="K329" s="149"/>
      <c r="L329" s="149"/>
      <c r="O329" s="153"/>
      <c r="P329" s="148"/>
      <c r="R329" s="149"/>
      <c r="S329" s="152"/>
      <c r="T329" s="152"/>
      <c r="U329" s="152"/>
      <c r="V329" s="149"/>
      <c r="W329" s="149"/>
      <c r="X329" s="151"/>
      <c r="Y329" s="150"/>
      <c r="Z329" s="149"/>
      <c r="AA329" s="148"/>
    </row>
    <row r="330" spans="9:27">
      <c r="I330" s="149"/>
      <c r="K330" s="149"/>
      <c r="L330" s="149"/>
      <c r="O330" s="153"/>
      <c r="P330" s="148"/>
      <c r="R330" s="149"/>
      <c r="S330" s="152"/>
      <c r="T330" s="152"/>
      <c r="U330" s="152"/>
      <c r="V330" s="149"/>
      <c r="W330" s="149"/>
      <c r="X330" s="151"/>
      <c r="Y330" s="150"/>
      <c r="Z330" s="149"/>
      <c r="AA330" s="148"/>
    </row>
    <row r="331" spans="9:27">
      <c r="I331" s="149"/>
      <c r="K331" s="149"/>
      <c r="L331" s="149"/>
      <c r="O331" s="153"/>
      <c r="P331" s="148"/>
      <c r="R331" s="149"/>
      <c r="S331" s="152"/>
      <c r="T331" s="152"/>
      <c r="U331" s="152"/>
      <c r="V331" s="149"/>
      <c r="W331" s="149"/>
      <c r="X331" s="151"/>
      <c r="Y331" s="150"/>
      <c r="Z331" s="149"/>
      <c r="AA331" s="148"/>
    </row>
    <row r="332" spans="9:27">
      <c r="I332" s="149"/>
      <c r="K332" s="149"/>
      <c r="L332" s="149"/>
      <c r="O332" s="153"/>
      <c r="P332" s="148"/>
      <c r="R332" s="149"/>
      <c r="S332" s="152"/>
      <c r="T332" s="152"/>
      <c r="U332" s="152"/>
      <c r="V332" s="149"/>
      <c r="W332" s="149"/>
      <c r="X332" s="151"/>
      <c r="Y332" s="150"/>
      <c r="Z332" s="149"/>
      <c r="AA332" s="148"/>
    </row>
    <row r="333" spans="9:27">
      <c r="I333" s="149"/>
      <c r="K333" s="149"/>
      <c r="L333" s="149"/>
      <c r="O333" s="153"/>
      <c r="P333" s="148"/>
      <c r="R333" s="149"/>
      <c r="S333" s="152"/>
      <c r="T333" s="152"/>
      <c r="U333" s="152"/>
      <c r="V333" s="149"/>
      <c r="W333" s="149"/>
      <c r="X333" s="151"/>
      <c r="Y333" s="150"/>
      <c r="Z333" s="149"/>
      <c r="AA333" s="148"/>
    </row>
    <row r="334" spans="9:27">
      <c r="I334" s="149"/>
      <c r="K334" s="149"/>
      <c r="L334" s="149"/>
      <c r="O334" s="153"/>
      <c r="P334" s="148"/>
      <c r="R334" s="149"/>
      <c r="S334" s="152"/>
      <c r="T334" s="152"/>
      <c r="U334" s="152"/>
      <c r="V334" s="149"/>
      <c r="W334" s="149"/>
      <c r="X334" s="151"/>
      <c r="Y334" s="150"/>
      <c r="Z334" s="149"/>
      <c r="AA334" s="148"/>
    </row>
    <row r="335" spans="9:27">
      <c r="I335" s="149"/>
      <c r="K335" s="149"/>
      <c r="L335" s="149"/>
      <c r="O335" s="153"/>
      <c r="P335" s="148"/>
      <c r="R335" s="149"/>
      <c r="S335" s="152"/>
      <c r="T335" s="152"/>
      <c r="U335" s="152"/>
      <c r="V335" s="149"/>
      <c r="W335" s="149"/>
      <c r="X335" s="151"/>
      <c r="Y335" s="150"/>
      <c r="Z335" s="149"/>
      <c r="AA335" s="148"/>
    </row>
    <row r="336" spans="9:27">
      <c r="I336" s="149"/>
      <c r="K336" s="149"/>
      <c r="L336" s="149"/>
      <c r="O336" s="153"/>
      <c r="P336" s="148"/>
      <c r="R336" s="149"/>
      <c r="S336" s="152"/>
      <c r="T336" s="152"/>
      <c r="U336" s="152"/>
      <c r="V336" s="149"/>
      <c r="W336" s="149"/>
      <c r="X336" s="151"/>
      <c r="Y336" s="150"/>
      <c r="Z336" s="149"/>
      <c r="AA336" s="148"/>
    </row>
    <row r="337" spans="9:27">
      <c r="I337" s="149"/>
      <c r="K337" s="149"/>
      <c r="L337" s="149"/>
      <c r="O337" s="153"/>
      <c r="P337" s="148"/>
      <c r="R337" s="149"/>
      <c r="S337" s="152"/>
      <c r="T337" s="152"/>
      <c r="U337" s="152"/>
      <c r="V337" s="149"/>
      <c r="W337" s="149"/>
      <c r="X337" s="151"/>
      <c r="Y337" s="150"/>
      <c r="Z337" s="149"/>
      <c r="AA337" s="148"/>
    </row>
    <row r="338" spans="9:27">
      <c r="I338" s="149"/>
      <c r="K338" s="149"/>
      <c r="L338" s="149"/>
      <c r="O338" s="153"/>
      <c r="P338" s="148"/>
      <c r="R338" s="149"/>
      <c r="S338" s="152"/>
      <c r="T338" s="152"/>
      <c r="U338" s="152"/>
      <c r="V338" s="149"/>
      <c r="W338" s="149"/>
      <c r="X338" s="151"/>
      <c r="Y338" s="150"/>
      <c r="Z338" s="149"/>
      <c r="AA338" s="148"/>
    </row>
    <row r="339" spans="9:27">
      <c r="I339" s="149"/>
      <c r="K339" s="149"/>
      <c r="L339" s="149"/>
      <c r="O339" s="153"/>
      <c r="P339" s="148"/>
      <c r="R339" s="149"/>
      <c r="S339" s="152"/>
      <c r="T339" s="152"/>
      <c r="U339" s="152"/>
      <c r="V339" s="149"/>
      <c r="W339" s="149"/>
      <c r="X339" s="151"/>
      <c r="Y339" s="150"/>
      <c r="Z339" s="149"/>
      <c r="AA339" s="148"/>
    </row>
    <row r="340" spans="9:27">
      <c r="I340" s="149"/>
      <c r="K340" s="149"/>
      <c r="L340" s="149"/>
      <c r="O340" s="153"/>
      <c r="P340" s="148"/>
      <c r="R340" s="149"/>
      <c r="S340" s="152"/>
      <c r="T340" s="152"/>
      <c r="U340" s="152"/>
      <c r="V340" s="149"/>
      <c r="W340" s="149"/>
      <c r="X340" s="151"/>
      <c r="Y340" s="150"/>
      <c r="Z340" s="149"/>
      <c r="AA340" s="148"/>
    </row>
    <row r="341" spans="9:27">
      <c r="I341" s="149"/>
      <c r="K341" s="149"/>
      <c r="L341" s="149"/>
      <c r="O341" s="153"/>
      <c r="P341" s="148"/>
      <c r="R341" s="149"/>
      <c r="S341" s="152"/>
      <c r="T341" s="152"/>
      <c r="U341" s="152"/>
      <c r="V341" s="149"/>
      <c r="W341" s="149"/>
      <c r="X341" s="151"/>
      <c r="Y341" s="150"/>
      <c r="Z341" s="149"/>
      <c r="AA341" s="148"/>
    </row>
    <row r="342" spans="9:27">
      <c r="I342" s="149"/>
      <c r="K342" s="149"/>
      <c r="L342" s="149"/>
      <c r="O342" s="153"/>
      <c r="P342" s="148"/>
      <c r="R342" s="149"/>
      <c r="S342" s="152"/>
      <c r="T342" s="152"/>
      <c r="U342" s="152"/>
      <c r="V342" s="149"/>
      <c r="W342" s="149"/>
      <c r="X342" s="151"/>
      <c r="Y342" s="150"/>
      <c r="Z342" s="149"/>
      <c r="AA342" s="148"/>
    </row>
    <row r="343" spans="9:27">
      <c r="I343" s="149"/>
      <c r="K343" s="149"/>
      <c r="L343" s="149"/>
      <c r="O343" s="153"/>
      <c r="P343" s="148"/>
      <c r="R343" s="149"/>
      <c r="S343" s="152"/>
      <c r="T343" s="152"/>
      <c r="U343" s="152"/>
      <c r="V343" s="149"/>
      <c r="W343" s="149"/>
      <c r="X343" s="151"/>
      <c r="Y343" s="150"/>
      <c r="Z343" s="149"/>
      <c r="AA343" s="148"/>
    </row>
    <row r="344" spans="9:27">
      <c r="I344" s="149"/>
      <c r="K344" s="149"/>
      <c r="L344" s="149"/>
      <c r="O344" s="153"/>
      <c r="P344" s="148"/>
      <c r="R344" s="149"/>
      <c r="S344" s="152"/>
      <c r="T344" s="152"/>
      <c r="U344" s="152"/>
      <c r="V344" s="149"/>
      <c r="W344" s="149"/>
      <c r="X344" s="151"/>
      <c r="Y344" s="150"/>
      <c r="Z344" s="149"/>
      <c r="AA344" s="148"/>
    </row>
    <row r="345" spans="9:27">
      <c r="I345" s="149"/>
      <c r="K345" s="149"/>
      <c r="L345" s="149"/>
      <c r="O345" s="153"/>
      <c r="P345" s="148"/>
      <c r="R345" s="149"/>
      <c r="S345" s="152"/>
      <c r="T345" s="152"/>
      <c r="U345" s="152"/>
      <c r="V345" s="149"/>
      <c r="W345" s="149"/>
      <c r="X345" s="151"/>
      <c r="Y345" s="150"/>
      <c r="Z345" s="149"/>
      <c r="AA345" s="148"/>
    </row>
    <row r="346" spans="9:27">
      <c r="I346" s="149"/>
      <c r="K346" s="149"/>
      <c r="L346" s="149"/>
      <c r="O346" s="153"/>
      <c r="P346" s="148"/>
      <c r="R346" s="149"/>
      <c r="S346" s="152"/>
      <c r="T346" s="152"/>
      <c r="U346" s="152"/>
      <c r="V346" s="149"/>
      <c r="W346" s="149"/>
      <c r="X346" s="151"/>
      <c r="Y346" s="150"/>
      <c r="Z346" s="149"/>
      <c r="AA346" s="148"/>
    </row>
    <row r="347" spans="9:27">
      <c r="I347" s="149"/>
      <c r="K347" s="149"/>
      <c r="L347" s="149"/>
      <c r="O347" s="153"/>
      <c r="P347" s="148"/>
      <c r="R347" s="149"/>
      <c r="S347" s="152"/>
      <c r="T347" s="152"/>
      <c r="U347" s="152"/>
      <c r="V347" s="149"/>
      <c r="W347" s="149"/>
      <c r="X347" s="151"/>
      <c r="Y347" s="150"/>
      <c r="Z347" s="149"/>
      <c r="AA347" s="148"/>
    </row>
    <row r="348" spans="9:27">
      <c r="I348" s="149"/>
      <c r="K348" s="149"/>
      <c r="L348" s="149"/>
      <c r="O348" s="153"/>
      <c r="P348" s="148"/>
      <c r="R348" s="149"/>
      <c r="S348" s="152"/>
      <c r="T348" s="152"/>
      <c r="U348" s="152"/>
      <c r="V348" s="149"/>
      <c r="W348" s="149"/>
      <c r="X348" s="151"/>
      <c r="Y348" s="150"/>
      <c r="Z348" s="149"/>
      <c r="AA348" s="148"/>
    </row>
    <row r="349" spans="9:27">
      <c r="I349" s="149"/>
      <c r="K349" s="149"/>
      <c r="L349" s="149"/>
      <c r="O349" s="153"/>
      <c r="P349" s="148"/>
      <c r="R349" s="149"/>
      <c r="S349" s="152"/>
      <c r="T349" s="152"/>
      <c r="U349" s="152"/>
      <c r="V349" s="149"/>
      <c r="W349" s="149"/>
      <c r="X349" s="151"/>
      <c r="Y349" s="150"/>
      <c r="Z349" s="149"/>
      <c r="AA349" s="148"/>
    </row>
    <row r="350" spans="9:27">
      <c r="I350" s="149"/>
      <c r="K350" s="149"/>
      <c r="L350" s="149"/>
      <c r="O350" s="153"/>
      <c r="P350" s="148"/>
      <c r="R350" s="149"/>
      <c r="S350" s="152"/>
      <c r="T350" s="152"/>
      <c r="U350" s="152"/>
      <c r="V350" s="149"/>
      <c r="W350" s="149"/>
      <c r="X350" s="151"/>
      <c r="Y350" s="150"/>
      <c r="Z350" s="149"/>
      <c r="AA350" s="148"/>
    </row>
    <row r="351" spans="9:27">
      <c r="I351" s="149"/>
      <c r="K351" s="149"/>
      <c r="L351" s="149"/>
      <c r="O351" s="153"/>
      <c r="P351" s="148"/>
      <c r="R351" s="149"/>
      <c r="S351" s="152"/>
      <c r="T351" s="152"/>
      <c r="U351" s="152"/>
      <c r="V351" s="149"/>
      <c r="W351" s="149"/>
      <c r="X351" s="151"/>
      <c r="Y351" s="150"/>
      <c r="Z351" s="149"/>
      <c r="AA351" s="148"/>
    </row>
    <row r="352" spans="9:27">
      <c r="I352" s="149"/>
      <c r="K352" s="149"/>
      <c r="L352" s="149"/>
      <c r="O352" s="153"/>
      <c r="P352" s="148"/>
      <c r="R352" s="149"/>
      <c r="S352" s="152"/>
      <c r="T352" s="152"/>
      <c r="U352" s="152"/>
      <c r="V352" s="149"/>
      <c r="W352" s="149"/>
      <c r="X352" s="151"/>
      <c r="Y352" s="150"/>
      <c r="Z352" s="149"/>
      <c r="AA352" s="148"/>
    </row>
    <row r="353" spans="9:27">
      <c r="I353" s="149"/>
      <c r="K353" s="149"/>
      <c r="L353" s="149"/>
      <c r="O353" s="153"/>
      <c r="P353" s="148"/>
      <c r="R353" s="149"/>
      <c r="S353" s="152"/>
      <c r="T353" s="152"/>
      <c r="U353" s="152"/>
      <c r="V353" s="149"/>
      <c r="W353" s="149"/>
      <c r="X353" s="151"/>
      <c r="Y353" s="150"/>
      <c r="Z353" s="149"/>
      <c r="AA353" s="148"/>
    </row>
    <row r="354" spans="9:27">
      <c r="I354" s="149"/>
      <c r="K354" s="149"/>
      <c r="L354" s="149"/>
      <c r="O354" s="153"/>
      <c r="P354" s="148"/>
      <c r="R354" s="149"/>
      <c r="S354" s="152"/>
      <c r="T354" s="152"/>
      <c r="U354" s="152"/>
      <c r="V354" s="149"/>
      <c r="W354" s="149"/>
      <c r="X354" s="151"/>
      <c r="Y354" s="150"/>
      <c r="Z354" s="149"/>
      <c r="AA354" s="148"/>
    </row>
    <row r="355" spans="9:27">
      <c r="I355" s="149"/>
      <c r="K355" s="149"/>
      <c r="L355" s="149"/>
      <c r="O355" s="153"/>
      <c r="P355" s="148"/>
      <c r="R355" s="149"/>
      <c r="S355" s="152"/>
      <c r="T355" s="152"/>
      <c r="U355" s="152"/>
      <c r="V355" s="149"/>
      <c r="W355" s="149"/>
      <c r="X355" s="151"/>
      <c r="Y355" s="150"/>
      <c r="Z355" s="149"/>
      <c r="AA355" s="148"/>
    </row>
    <row r="356" spans="9:27">
      <c r="I356" s="149"/>
      <c r="K356" s="149"/>
      <c r="L356" s="149"/>
      <c r="O356" s="153"/>
      <c r="P356" s="148"/>
      <c r="R356" s="149"/>
      <c r="S356" s="152"/>
      <c r="T356" s="152"/>
      <c r="U356" s="152"/>
      <c r="V356" s="149"/>
      <c r="W356" s="149"/>
      <c r="X356" s="151"/>
      <c r="Y356" s="150"/>
      <c r="Z356" s="149"/>
      <c r="AA356" s="148"/>
    </row>
    <row r="357" spans="9:27">
      <c r="I357" s="149"/>
      <c r="K357" s="149"/>
      <c r="L357" s="149"/>
      <c r="O357" s="153"/>
      <c r="P357" s="148"/>
      <c r="R357" s="149"/>
      <c r="S357" s="152"/>
      <c r="T357" s="152"/>
      <c r="U357" s="152"/>
      <c r="V357" s="149"/>
      <c r="W357" s="149"/>
      <c r="X357" s="151"/>
      <c r="Y357" s="150"/>
      <c r="Z357" s="149"/>
      <c r="AA357" s="148"/>
    </row>
    <row r="358" spans="9:27">
      <c r="I358" s="149"/>
      <c r="K358" s="149"/>
      <c r="L358" s="149"/>
      <c r="O358" s="153"/>
      <c r="P358" s="148"/>
      <c r="R358" s="149"/>
      <c r="S358" s="152"/>
      <c r="T358" s="152"/>
      <c r="U358" s="152"/>
      <c r="V358" s="149"/>
      <c r="W358" s="149"/>
      <c r="X358" s="151"/>
      <c r="Y358" s="150"/>
      <c r="Z358" s="149"/>
      <c r="AA358" s="148"/>
    </row>
    <row r="359" spans="9:27">
      <c r="I359" s="149"/>
      <c r="K359" s="149"/>
      <c r="L359" s="149"/>
      <c r="O359" s="153"/>
      <c r="P359" s="148"/>
      <c r="R359" s="149"/>
      <c r="S359" s="152"/>
      <c r="T359" s="152"/>
      <c r="U359" s="152"/>
      <c r="V359" s="149"/>
      <c r="W359" s="149"/>
      <c r="X359" s="151"/>
      <c r="Y359" s="150"/>
      <c r="Z359" s="149"/>
      <c r="AA359" s="148"/>
    </row>
    <row r="360" spans="9:27">
      <c r="I360" s="149"/>
      <c r="K360" s="149"/>
      <c r="L360" s="149"/>
      <c r="O360" s="153"/>
      <c r="P360" s="148"/>
      <c r="R360" s="149"/>
      <c r="S360" s="152"/>
      <c r="T360" s="152"/>
      <c r="U360" s="152"/>
      <c r="V360" s="149"/>
      <c r="W360" s="149"/>
      <c r="X360" s="151"/>
      <c r="Y360" s="150"/>
      <c r="Z360" s="149"/>
      <c r="AA360" s="148"/>
    </row>
    <row r="361" spans="9:27">
      <c r="I361" s="149"/>
      <c r="K361" s="149"/>
      <c r="L361" s="149"/>
      <c r="O361" s="153"/>
      <c r="P361" s="148"/>
      <c r="R361" s="149"/>
      <c r="S361" s="152"/>
      <c r="T361" s="152"/>
      <c r="U361" s="152"/>
      <c r="V361" s="149"/>
      <c r="W361" s="149"/>
      <c r="X361" s="151"/>
      <c r="Y361" s="150"/>
      <c r="Z361" s="149"/>
      <c r="AA361" s="148"/>
    </row>
    <row r="362" spans="9:27">
      <c r="I362" s="149"/>
      <c r="K362" s="149"/>
      <c r="L362" s="149"/>
      <c r="O362" s="153"/>
      <c r="P362" s="148"/>
      <c r="R362" s="149"/>
      <c r="S362" s="152"/>
      <c r="T362" s="152"/>
      <c r="U362" s="152"/>
      <c r="V362" s="149"/>
      <c r="W362" s="149"/>
      <c r="X362" s="151"/>
      <c r="Y362" s="150"/>
      <c r="Z362" s="149"/>
      <c r="AA362" s="148"/>
    </row>
    <row r="363" spans="9:27">
      <c r="I363" s="149"/>
      <c r="K363" s="149"/>
      <c r="L363" s="149"/>
      <c r="O363" s="153"/>
      <c r="P363" s="148"/>
      <c r="R363" s="149"/>
      <c r="S363" s="152"/>
      <c r="T363" s="152"/>
      <c r="U363" s="152"/>
      <c r="V363" s="149"/>
      <c r="W363" s="149"/>
      <c r="X363" s="151"/>
      <c r="Y363" s="150"/>
      <c r="Z363" s="149"/>
      <c r="AA363" s="148"/>
    </row>
    <row r="364" spans="9:27">
      <c r="I364" s="149"/>
      <c r="K364" s="149"/>
      <c r="L364" s="149"/>
      <c r="O364" s="153"/>
      <c r="P364" s="148"/>
      <c r="R364" s="149"/>
      <c r="S364" s="152"/>
      <c r="T364" s="152"/>
      <c r="U364" s="152"/>
      <c r="V364" s="149"/>
      <c r="W364" s="149"/>
      <c r="X364" s="151"/>
      <c r="Y364" s="150"/>
      <c r="Z364" s="149"/>
      <c r="AA364" s="148"/>
    </row>
    <row r="365" spans="9:27">
      <c r="I365" s="149"/>
      <c r="K365" s="149"/>
      <c r="L365" s="149"/>
      <c r="O365" s="153"/>
      <c r="P365" s="148"/>
      <c r="R365" s="149"/>
      <c r="S365" s="152"/>
      <c r="T365" s="152"/>
      <c r="U365" s="152"/>
      <c r="V365" s="149"/>
      <c r="W365" s="149"/>
      <c r="X365" s="151"/>
      <c r="Y365" s="150"/>
      <c r="Z365" s="149"/>
      <c r="AA365" s="148"/>
    </row>
    <row r="366" spans="9:27">
      <c r="I366" s="149"/>
      <c r="K366" s="149"/>
      <c r="L366" s="149"/>
      <c r="O366" s="153"/>
      <c r="P366" s="148"/>
      <c r="R366" s="149"/>
      <c r="S366" s="152"/>
      <c r="T366" s="152"/>
      <c r="U366" s="152"/>
      <c r="V366" s="149"/>
      <c r="W366" s="149"/>
      <c r="X366" s="151"/>
      <c r="Y366" s="150"/>
      <c r="Z366" s="149"/>
      <c r="AA366" s="148"/>
    </row>
    <row r="367" spans="9:27">
      <c r="I367" s="149"/>
      <c r="K367" s="149"/>
      <c r="L367" s="149"/>
      <c r="O367" s="153"/>
      <c r="P367" s="148"/>
      <c r="R367" s="149"/>
      <c r="S367" s="152"/>
      <c r="T367" s="152"/>
      <c r="U367" s="152"/>
      <c r="V367" s="149"/>
      <c r="W367" s="149"/>
      <c r="X367" s="151"/>
      <c r="Y367" s="150"/>
      <c r="Z367" s="149"/>
      <c r="AA367" s="148"/>
    </row>
    <row r="368" spans="9:27">
      <c r="I368" s="149"/>
      <c r="K368" s="149"/>
      <c r="L368" s="149"/>
      <c r="O368" s="153"/>
      <c r="P368" s="148"/>
      <c r="R368" s="149"/>
      <c r="S368" s="152"/>
      <c r="T368" s="152"/>
      <c r="U368" s="152"/>
      <c r="V368" s="149"/>
      <c r="W368" s="149"/>
      <c r="X368" s="151"/>
      <c r="Y368" s="150"/>
      <c r="Z368" s="149"/>
      <c r="AA368" s="148"/>
    </row>
    <row r="369" spans="9:27">
      <c r="I369" s="149"/>
      <c r="K369" s="149"/>
      <c r="L369" s="149"/>
      <c r="O369" s="153"/>
      <c r="P369" s="148"/>
      <c r="R369" s="149"/>
      <c r="S369" s="152"/>
      <c r="T369" s="152"/>
      <c r="U369" s="152"/>
      <c r="V369" s="149"/>
      <c r="W369" s="149"/>
      <c r="X369" s="151"/>
      <c r="Y369" s="150"/>
      <c r="Z369" s="149"/>
      <c r="AA369" s="148"/>
    </row>
    <row r="370" spans="9:27">
      <c r="I370" s="149"/>
      <c r="K370" s="149"/>
      <c r="L370" s="149"/>
      <c r="O370" s="153"/>
      <c r="P370" s="148"/>
      <c r="R370" s="149"/>
      <c r="S370" s="152"/>
      <c r="T370" s="152"/>
      <c r="U370" s="152"/>
      <c r="V370" s="149"/>
      <c r="W370" s="149"/>
      <c r="X370" s="151"/>
      <c r="Y370" s="150"/>
      <c r="Z370" s="149"/>
      <c r="AA370" s="148"/>
    </row>
    <row r="371" spans="9:27">
      <c r="I371" s="149"/>
      <c r="K371" s="149"/>
      <c r="L371" s="149"/>
      <c r="O371" s="153"/>
      <c r="P371" s="148"/>
      <c r="R371" s="149"/>
      <c r="S371" s="152"/>
      <c r="T371" s="152"/>
      <c r="U371" s="152"/>
      <c r="V371" s="149"/>
      <c r="W371" s="149"/>
      <c r="X371" s="151"/>
      <c r="Y371" s="150"/>
      <c r="Z371" s="149"/>
      <c r="AA371" s="148"/>
    </row>
    <row r="372" spans="9:27">
      <c r="I372" s="149"/>
      <c r="K372" s="149"/>
      <c r="L372" s="149"/>
      <c r="O372" s="153"/>
      <c r="P372" s="148"/>
      <c r="R372" s="149"/>
      <c r="S372" s="152"/>
      <c r="T372" s="152"/>
      <c r="U372" s="152"/>
      <c r="V372" s="149"/>
      <c r="W372" s="149"/>
      <c r="X372" s="151"/>
      <c r="Y372" s="150"/>
      <c r="Z372" s="149"/>
      <c r="AA372" s="148"/>
    </row>
    <row r="373" spans="9:27">
      <c r="I373" s="149"/>
      <c r="K373" s="149"/>
      <c r="L373" s="149"/>
      <c r="O373" s="153"/>
      <c r="P373" s="148"/>
      <c r="R373" s="149"/>
      <c r="S373" s="152"/>
      <c r="T373" s="152"/>
      <c r="U373" s="152"/>
      <c r="V373" s="149"/>
      <c r="W373" s="149"/>
      <c r="X373" s="151"/>
      <c r="Y373" s="150"/>
      <c r="Z373" s="149"/>
      <c r="AA373" s="148"/>
    </row>
    <row r="374" spans="9:27">
      <c r="I374" s="149"/>
      <c r="K374" s="149"/>
      <c r="L374" s="149"/>
      <c r="O374" s="153"/>
      <c r="P374" s="148"/>
      <c r="R374" s="149"/>
      <c r="S374" s="152"/>
      <c r="T374" s="152"/>
      <c r="U374" s="152"/>
      <c r="V374" s="149"/>
      <c r="W374" s="149"/>
      <c r="X374" s="151"/>
      <c r="Y374" s="150"/>
      <c r="Z374" s="149"/>
      <c r="AA374" s="148"/>
    </row>
    <row r="375" spans="9:27">
      <c r="I375" s="149"/>
      <c r="K375" s="149"/>
      <c r="L375" s="149"/>
      <c r="O375" s="153"/>
      <c r="P375" s="148"/>
      <c r="R375" s="149"/>
      <c r="S375" s="152"/>
      <c r="T375" s="152"/>
      <c r="U375" s="152"/>
      <c r="V375" s="149"/>
      <c r="W375" s="149"/>
      <c r="X375" s="151"/>
      <c r="Y375" s="150"/>
      <c r="Z375" s="149"/>
      <c r="AA375" s="148"/>
    </row>
    <row r="376" spans="9:27">
      <c r="I376" s="149"/>
      <c r="K376" s="149"/>
      <c r="L376" s="149"/>
      <c r="O376" s="153"/>
      <c r="P376" s="148"/>
      <c r="R376" s="149"/>
      <c r="S376" s="152"/>
      <c r="T376" s="152"/>
      <c r="U376" s="152"/>
      <c r="V376" s="149"/>
      <c r="W376" s="149"/>
      <c r="X376" s="151"/>
      <c r="Y376" s="150"/>
      <c r="Z376" s="149"/>
      <c r="AA376" s="148"/>
    </row>
    <row r="377" spans="9:27">
      <c r="I377" s="149"/>
      <c r="K377" s="149"/>
      <c r="L377" s="149"/>
      <c r="O377" s="153"/>
      <c r="P377" s="148"/>
      <c r="R377" s="149"/>
      <c r="S377" s="152"/>
      <c r="T377" s="152"/>
      <c r="U377" s="152"/>
      <c r="V377" s="149"/>
      <c r="W377" s="149"/>
      <c r="X377" s="151"/>
      <c r="Y377" s="150"/>
      <c r="Z377" s="149"/>
      <c r="AA377" s="148"/>
    </row>
    <row r="378" spans="9:27">
      <c r="I378" s="149"/>
      <c r="K378" s="149"/>
      <c r="L378" s="149"/>
      <c r="O378" s="153"/>
      <c r="P378" s="148"/>
      <c r="R378" s="149"/>
      <c r="S378" s="152"/>
      <c r="T378" s="152"/>
      <c r="U378" s="152"/>
      <c r="V378" s="149"/>
      <c r="W378" s="149"/>
      <c r="X378" s="151"/>
      <c r="Y378" s="150"/>
      <c r="Z378" s="149"/>
      <c r="AA378" s="148"/>
    </row>
    <row r="379" spans="9:27">
      <c r="I379" s="149"/>
      <c r="K379" s="149"/>
      <c r="L379" s="149"/>
      <c r="O379" s="153"/>
      <c r="P379" s="148"/>
      <c r="R379" s="149"/>
      <c r="S379" s="152"/>
      <c r="T379" s="152"/>
      <c r="U379" s="152"/>
      <c r="V379" s="149"/>
      <c r="W379" s="149"/>
      <c r="X379" s="151"/>
      <c r="Y379" s="150"/>
      <c r="Z379" s="149"/>
      <c r="AA379" s="148"/>
    </row>
    <row r="380" spans="9:27">
      <c r="I380" s="149"/>
      <c r="K380" s="149"/>
      <c r="L380" s="149"/>
      <c r="O380" s="153"/>
      <c r="P380" s="148"/>
      <c r="R380" s="149"/>
      <c r="S380" s="152"/>
      <c r="T380" s="152"/>
      <c r="U380" s="152"/>
      <c r="V380" s="149"/>
      <c r="W380" s="149"/>
      <c r="X380" s="151"/>
      <c r="Y380" s="150"/>
      <c r="Z380" s="149"/>
      <c r="AA380" s="148"/>
    </row>
    <row r="381" spans="9:27">
      <c r="I381" s="149"/>
      <c r="K381" s="149"/>
      <c r="L381" s="149"/>
      <c r="O381" s="153"/>
      <c r="P381" s="148"/>
      <c r="R381" s="149"/>
      <c r="S381" s="152"/>
      <c r="T381" s="152"/>
      <c r="U381" s="152"/>
      <c r="V381" s="149"/>
      <c r="W381" s="149"/>
      <c r="X381" s="151"/>
      <c r="Y381" s="150"/>
      <c r="Z381" s="149"/>
      <c r="AA381" s="148"/>
    </row>
    <row r="382" spans="9:27">
      <c r="I382" s="149"/>
      <c r="K382" s="149"/>
      <c r="L382" s="149"/>
      <c r="O382" s="153"/>
      <c r="P382" s="148"/>
      <c r="R382" s="149"/>
      <c r="S382" s="152"/>
      <c r="T382" s="152"/>
      <c r="U382" s="152"/>
      <c r="V382" s="149"/>
      <c r="W382" s="149"/>
      <c r="X382" s="151"/>
      <c r="Y382" s="150"/>
      <c r="Z382" s="149"/>
      <c r="AA382" s="148"/>
    </row>
    <row r="383" spans="9:27">
      <c r="I383" s="149"/>
      <c r="K383" s="149"/>
      <c r="L383" s="149"/>
      <c r="O383" s="153"/>
      <c r="P383" s="148"/>
      <c r="R383" s="149"/>
      <c r="S383" s="152"/>
      <c r="T383" s="152"/>
      <c r="U383" s="152"/>
      <c r="V383" s="149"/>
      <c r="W383" s="149"/>
      <c r="X383" s="151"/>
      <c r="Y383" s="150"/>
      <c r="Z383" s="149"/>
      <c r="AA383" s="148"/>
    </row>
    <row r="384" spans="9:27">
      <c r="I384" s="149"/>
      <c r="K384" s="149"/>
      <c r="L384" s="149"/>
      <c r="O384" s="153"/>
      <c r="P384" s="148"/>
      <c r="R384" s="149"/>
      <c r="S384" s="152"/>
      <c r="T384" s="152"/>
      <c r="U384" s="152"/>
      <c r="V384" s="149"/>
      <c r="W384" s="149"/>
      <c r="X384" s="151"/>
      <c r="Y384" s="150"/>
      <c r="Z384" s="149"/>
      <c r="AA384" s="148"/>
    </row>
    <row r="385" spans="9:27">
      <c r="I385" s="149"/>
      <c r="K385" s="149"/>
      <c r="L385" s="149"/>
      <c r="O385" s="153"/>
      <c r="P385" s="148"/>
      <c r="R385" s="149"/>
      <c r="S385" s="152"/>
      <c r="T385" s="152"/>
      <c r="U385" s="152"/>
      <c r="V385" s="149"/>
      <c r="W385" s="149"/>
      <c r="X385" s="151"/>
      <c r="Y385" s="150"/>
      <c r="Z385" s="149"/>
      <c r="AA385" s="148"/>
    </row>
    <row r="386" spans="9:27">
      <c r="I386" s="149"/>
      <c r="K386" s="149"/>
      <c r="L386" s="149"/>
      <c r="O386" s="153"/>
      <c r="P386" s="148"/>
      <c r="R386" s="149"/>
      <c r="S386" s="152"/>
      <c r="T386" s="152"/>
      <c r="U386" s="152"/>
      <c r="V386" s="149"/>
      <c r="W386" s="149"/>
      <c r="X386" s="151"/>
      <c r="Y386" s="150"/>
      <c r="Z386" s="149"/>
      <c r="AA386" s="148"/>
    </row>
    <row r="387" spans="9:27">
      <c r="I387" s="149"/>
      <c r="K387" s="149"/>
      <c r="L387" s="149"/>
      <c r="O387" s="153"/>
      <c r="P387" s="148"/>
      <c r="R387" s="149"/>
      <c r="S387" s="152"/>
      <c r="T387" s="152"/>
      <c r="U387" s="152"/>
      <c r="V387" s="149"/>
      <c r="W387" s="149"/>
      <c r="X387" s="151"/>
      <c r="Y387" s="150"/>
      <c r="Z387" s="149"/>
      <c r="AA387" s="148"/>
    </row>
    <row r="388" spans="9:27">
      <c r="I388" s="149"/>
      <c r="K388" s="149"/>
      <c r="L388" s="149"/>
      <c r="O388" s="153"/>
      <c r="P388" s="148"/>
      <c r="R388" s="149"/>
      <c r="S388" s="152"/>
      <c r="T388" s="152"/>
      <c r="U388" s="152"/>
      <c r="V388" s="149"/>
      <c r="W388" s="149"/>
      <c r="X388" s="151"/>
      <c r="Y388" s="150"/>
      <c r="Z388" s="149"/>
      <c r="AA388" s="148"/>
    </row>
    <row r="389" spans="9:27">
      <c r="I389" s="149"/>
      <c r="K389" s="149"/>
      <c r="L389" s="149"/>
      <c r="O389" s="153"/>
      <c r="P389" s="148"/>
      <c r="R389" s="149"/>
      <c r="S389" s="152"/>
      <c r="T389" s="152"/>
      <c r="U389" s="152"/>
      <c r="V389" s="149"/>
      <c r="W389" s="149"/>
      <c r="X389" s="151"/>
      <c r="Y389" s="150"/>
      <c r="Z389" s="149"/>
      <c r="AA389" s="148"/>
    </row>
    <row r="390" spans="9:27">
      <c r="I390" s="149"/>
      <c r="K390" s="149"/>
      <c r="L390" s="149"/>
      <c r="O390" s="153"/>
      <c r="P390" s="148"/>
      <c r="R390" s="149"/>
      <c r="S390" s="152"/>
      <c r="T390" s="152"/>
      <c r="U390" s="152"/>
      <c r="V390" s="149"/>
      <c r="W390" s="149"/>
      <c r="X390" s="151"/>
      <c r="Y390" s="150"/>
      <c r="Z390" s="149"/>
      <c r="AA390" s="148"/>
    </row>
    <row r="391" spans="9:27">
      <c r="I391" s="149"/>
      <c r="K391" s="149"/>
      <c r="L391" s="149"/>
      <c r="O391" s="153"/>
      <c r="P391" s="148"/>
      <c r="R391" s="149"/>
      <c r="S391" s="152"/>
      <c r="T391" s="152"/>
      <c r="U391" s="152"/>
      <c r="V391" s="149"/>
      <c r="W391" s="149"/>
      <c r="X391" s="151"/>
      <c r="Y391" s="150"/>
      <c r="Z391" s="149"/>
      <c r="AA391" s="148"/>
    </row>
    <row r="392" spans="9:27">
      <c r="I392" s="149"/>
      <c r="K392" s="149"/>
      <c r="L392" s="149"/>
      <c r="O392" s="153"/>
      <c r="P392" s="148"/>
      <c r="R392" s="149"/>
      <c r="S392" s="152"/>
      <c r="T392" s="152"/>
      <c r="U392" s="152"/>
      <c r="V392" s="149"/>
      <c r="W392" s="149"/>
      <c r="X392" s="151"/>
      <c r="Y392" s="150"/>
      <c r="Z392" s="149"/>
      <c r="AA392" s="148"/>
    </row>
    <row r="393" spans="9:27">
      <c r="I393" s="149"/>
      <c r="K393" s="149"/>
      <c r="L393" s="149"/>
      <c r="O393" s="153"/>
      <c r="P393" s="148"/>
      <c r="R393" s="149"/>
      <c r="S393" s="152"/>
      <c r="T393" s="152"/>
      <c r="U393" s="152"/>
      <c r="V393" s="149"/>
      <c r="W393" s="149"/>
      <c r="X393" s="151"/>
      <c r="Y393" s="150"/>
      <c r="Z393" s="149"/>
      <c r="AA393" s="148"/>
    </row>
    <row r="394" spans="9:27">
      <c r="I394" s="149"/>
      <c r="K394" s="149"/>
      <c r="L394" s="149"/>
      <c r="O394" s="153"/>
      <c r="P394" s="148"/>
      <c r="R394" s="149"/>
      <c r="S394" s="152"/>
      <c r="T394" s="152"/>
      <c r="U394" s="152"/>
      <c r="V394" s="149"/>
      <c r="W394" s="149"/>
      <c r="X394" s="151"/>
      <c r="Y394" s="150"/>
      <c r="Z394" s="149"/>
      <c r="AA394" s="148"/>
    </row>
    <row r="395" spans="9:27">
      <c r="I395" s="149"/>
      <c r="K395" s="149"/>
      <c r="L395" s="149"/>
      <c r="O395" s="153"/>
      <c r="P395" s="148"/>
      <c r="R395" s="149"/>
      <c r="S395" s="152"/>
      <c r="T395" s="152"/>
      <c r="U395" s="152"/>
      <c r="V395" s="149"/>
      <c r="W395" s="149"/>
      <c r="X395" s="151"/>
      <c r="Y395" s="150"/>
      <c r="Z395" s="149"/>
      <c r="AA395" s="148"/>
    </row>
    <row r="396" spans="9:27">
      <c r="I396" s="149"/>
      <c r="K396" s="149"/>
      <c r="L396" s="149"/>
      <c r="O396" s="153"/>
      <c r="P396" s="148"/>
      <c r="R396" s="149"/>
      <c r="S396" s="152"/>
      <c r="T396" s="152"/>
      <c r="U396" s="152"/>
      <c r="V396" s="149"/>
      <c r="W396" s="149"/>
      <c r="X396" s="151"/>
      <c r="Y396" s="150"/>
      <c r="Z396" s="149"/>
      <c r="AA396" s="148"/>
    </row>
    <row r="397" spans="9:27">
      <c r="I397" s="149"/>
      <c r="K397" s="149"/>
      <c r="L397" s="149"/>
      <c r="O397" s="153"/>
      <c r="P397" s="148"/>
      <c r="R397" s="149"/>
      <c r="S397" s="152"/>
      <c r="T397" s="152"/>
      <c r="U397" s="152"/>
      <c r="V397" s="149"/>
      <c r="W397" s="149"/>
      <c r="X397" s="151"/>
      <c r="Y397" s="150"/>
      <c r="Z397" s="149"/>
      <c r="AA397" s="148"/>
    </row>
    <row r="398" spans="9:27">
      <c r="I398" s="149"/>
      <c r="K398" s="149"/>
      <c r="L398" s="149"/>
      <c r="O398" s="153"/>
      <c r="P398" s="148"/>
      <c r="R398" s="149"/>
      <c r="S398" s="152"/>
      <c r="T398" s="152"/>
      <c r="U398" s="152"/>
      <c r="V398" s="149"/>
      <c r="W398" s="149"/>
      <c r="X398" s="151"/>
      <c r="Y398" s="150"/>
      <c r="Z398" s="149"/>
      <c r="AA398" s="148"/>
    </row>
    <row r="399" spans="9:27">
      <c r="I399" s="149"/>
      <c r="K399" s="149"/>
      <c r="L399" s="149"/>
      <c r="O399" s="153"/>
      <c r="P399" s="148"/>
      <c r="R399" s="149"/>
      <c r="S399" s="152"/>
      <c r="T399" s="152"/>
      <c r="U399" s="152"/>
      <c r="V399" s="149"/>
      <c r="W399" s="149"/>
      <c r="X399" s="151"/>
      <c r="Y399" s="150"/>
      <c r="Z399" s="149"/>
      <c r="AA399" s="148"/>
    </row>
    <row r="400" spans="9:27">
      <c r="I400" s="149"/>
      <c r="K400" s="149"/>
      <c r="L400" s="149"/>
      <c r="O400" s="153"/>
      <c r="P400" s="148"/>
      <c r="R400" s="149"/>
      <c r="S400" s="152"/>
      <c r="T400" s="152"/>
      <c r="U400" s="152"/>
      <c r="V400" s="149"/>
      <c r="W400" s="149"/>
      <c r="X400" s="151"/>
      <c r="Y400" s="150"/>
      <c r="Z400" s="149"/>
      <c r="AA400" s="148"/>
    </row>
    <row r="401" spans="9:27">
      <c r="I401" s="149"/>
      <c r="K401" s="149"/>
      <c r="L401" s="149"/>
      <c r="O401" s="153"/>
      <c r="P401" s="148"/>
      <c r="R401" s="149"/>
      <c r="S401" s="152"/>
      <c r="T401" s="152"/>
      <c r="U401" s="152"/>
      <c r="V401" s="149"/>
      <c r="W401" s="149"/>
      <c r="X401" s="151"/>
      <c r="Y401" s="150"/>
      <c r="Z401" s="149"/>
      <c r="AA401" s="148"/>
    </row>
    <row r="402" spans="9:27">
      <c r="I402" s="149"/>
      <c r="K402" s="149"/>
      <c r="L402" s="149"/>
      <c r="O402" s="153"/>
      <c r="P402" s="148"/>
      <c r="R402" s="149"/>
      <c r="S402" s="152"/>
      <c r="T402" s="152"/>
      <c r="U402" s="152"/>
      <c r="V402" s="149"/>
      <c r="W402" s="149"/>
      <c r="X402" s="151"/>
      <c r="Y402" s="150"/>
      <c r="Z402" s="149"/>
      <c r="AA402" s="148"/>
    </row>
    <row r="403" spans="9:27">
      <c r="I403" s="149"/>
      <c r="K403" s="149"/>
      <c r="L403" s="149"/>
      <c r="O403" s="153"/>
      <c r="P403" s="148"/>
      <c r="R403" s="149"/>
      <c r="S403" s="152"/>
      <c r="T403" s="152"/>
      <c r="U403" s="152"/>
      <c r="V403" s="149"/>
      <c r="W403" s="149"/>
      <c r="X403" s="151"/>
      <c r="Y403" s="150"/>
      <c r="Z403" s="149"/>
      <c r="AA403" s="148"/>
    </row>
    <row r="404" spans="9:27">
      <c r="I404" s="149"/>
      <c r="K404" s="149"/>
      <c r="L404" s="149"/>
      <c r="O404" s="153"/>
      <c r="P404" s="148"/>
      <c r="R404" s="149"/>
      <c r="S404" s="152"/>
      <c r="T404" s="152"/>
      <c r="U404" s="152"/>
      <c r="V404" s="149"/>
      <c r="W404" s="149"/>
      <c r="X404" s="151"/>
      <c r="Y404" s="150"/>
      <c r="Z404" s="149"/>
      <c r="AA404" s="148"/>
    </row>
    <row r="405" spans="9:27">
      <c r="I405" s="149"/>
      <c r="K405" s="149"/>
      <c r="L405" s="149"/>
      <c r="O405" s="153"/>
      <c r="P405" s="148"/>
      <c r="R405" s="149"/>
      <c r="S405" s="152"/>
      <c r="T405" s="152"/>
      <c r="U405" s="152"/>
      <c r="V405" s="149"/>
      <c r="W405" s="149"/>
      <c r="X405" s="151"/>
      <c r="Y405" s="150"/>
      <c r="Z405" s="149"/>
      <c r="AA405" s="148"/>
    </row>
    <row r="406" spans="9:27">
      <c r="I406" s="149"/>
      <c r="K406" s="149"/>
      <c r="L406" s="149"/>
      <c r="O406" s="153"/>
      <c r="P406" s="148"/>
      <c r="R406" s="149"/>
      <c r="S406" s="152"/>
      <c r="T406" s="152"/>
      <c r="U406" s="152"/>
      <c r="V406" s="149"/>
      <c r="W406" s="149"/>
      <c r="X406" s="151"/>
      <c r="Y406" s="150"/>
      <c r="Z406" s="149"/>
      <c r="AA406" s="148"/>
    </row>
    <row r="407" spans="9:27">
      <c r="I407" s="149"/>
      <c r="K407" s="149"/>
      <c r="L407" s="149"/>
      <c r="O407" s="153"/>
      <c r="P407" s="148"/>
      <c r="R407" s="149"/>
      <c r="S407" s="152"/>
      <c r="T407" s="152"/>
      <c r="U407" s="152"/>
      <c r="V407" s="149"/>
      <c r="W407" s="149"/>
      <c r="X407" s="151"/>
      <c r="Y407" s="150"/>
      <c r="Z407" s="149"/>
      <c r="AA407" s="148"/>
    </row>
    <row r="408" spans="9:27">
      <c r="I408" s="149"/>
      <c r="K408" s="149"/>
      <c r="L408" s="149"/>
      <c r="O408" s="153"/>
      <c r="P408" s="148"/>
      <c r="R408" s="149"/>
      <c r="S408" s="152"/>
      <c r="T408" s="152"/>
      <c r="U408" s="152"/>
      <c r="V408" s="149"/>
      <c r="W408" s="149"/>
      <c r="X408" s="151"/>
      <c r="Y408" s="150"/>
      <c r="Z408" s="149"/>
      <c r="AA408" s="148"/>
    </row>
    <row r="409" spans="9:27">
      <c r="I409" s="149"/>
      <c r="K409" s="149"/>
      <c r="L409" s="149"/>
      <c r="O409" s="153"/>
      <c r="P409" s="148"/>
      <c r="R409" s="149"/>
      <c r="S409" s="152"/>
      <c r="T409" s="152"/>
      <c r="U409" s="152"/>
      <c r="V409" s="149"/>
      <c r="W409" s="149"/>
      <c r="X409" s="151"/>
      <c r="Y409" s="150"/>
      <c r="Z409" s="149"/>
      <c r="AA409" s="148"/>
    </row>
    <row r="410" spans="9:27">
      <c r="I410" s="149"/>
      <c r="K410" s="149"/>
      <c r="L410" s="149"/>
      <c r="O410" s="153"/>
      <c r="P410" s="148"/>
      <c r="R410" s="149"/>
      <c r="S410" s="152"/>
      <c r="T410" s="152"/>
      <c r="U410" s="152"/>
      <c r="V410" s="149"/>
      <c r="W410" s="149"/>
      <c r="X410" s="151"/>
      <c r="Y410" s="150"/>
      <c r="Z410" s="149"/>
      <c r="AA410" s="148"/>
    </row>
    <row r="411" spans="9:27">
      <c r="I411" s="149"/>
      <c r="K411" s="149"/>
      <c r="L411" s="149"/>
      <c r="O411" s="153"/>
      <c r="P411" s="148"/>
      <c r="R411" s="149"/>
      <c r="S411" s="152"/>
      <c r="T411" s="152"/>
      <c r="U411" s="152"/>
      <c r="V411" s="149"/>
      <c r="W411" s="149"/>
      <c r="X411" s="151"/>
      <c r="Y411" s="150"/>
      <c r="Z411" s="149"/>
      <c r="AA411" s="148"/>
    </row>
    <row r="412" spans="9:27">
      <c r="I412" s="149"/>
      <c r="K412" s="149"/>
      <c r="L412" s="149"/>
      <c r="O412" s="153"/>
      <c r="P412" s="148"/>
      <c r="R412" s="149"/>
      <c r="S412" s="152"/>
      <c r="T412" s="152"/>
      <c r="U412" s="152"/>
      <c r="V412" s="149"/>
      <c r="W412" s="149"/>
      <c r="X412" s="151"/>
      <c r="Y412" s="150"/>
      <c r="Z412" s="149"/>
      <c r="AA412" s="148"/>
    </row>
    <row r="413" spans="9:27">
      <c r="I413" s="149"/>
      <c r="K413" s="149"/>
      <c r="L413" s="149"/>
      <c r="O413" s="153"/>
      <c r="P413" s="148"/>
      <c r="R413" s="149"/>
      <c r="S413" s="152"/>
      <c r="T413" s="152"/>
      <c r="U413" s="152"/>
      <c r="V413" s="149"/>
      <c r="W413" s="149"/>
      <c r="X413" s="151"/>
      <c r="Y413" s="150"/>
      <c r="Z413" s="149"/>
      <c r="AA413" s="148"/>
    </row>
    <row r="414" spans="9:27">
      <c r="I414" s="149"/>
      <c r="K414" s="149"/>
      <c r="L414" s="149"/>
      <c r="O414" s="153"/>
      <c r="P414" s="148"/>
      <c r="R414" s="149"/>
      <c r="S414" s="152"/>
      <c r="T414" s="152"/>
      <c r="U414" s="152"/>
      <c r="V414" s="149"/>
      <c r="W414" s="149"/>
      <c r="X414" s="151"/>
      <c r="Y414" s="150"/>
      <c r="Z414" s="149"/>
      <c r="AA414" s="148"/>
    </row>
    <row r="415" spans="9:27">
      <c r="I415" s="149"/>
      <c r="K415" s="149"/>
      <c r="L415" s="149"/>
      <c r="O415" s="153"/>
      <c r="P415" s="148"/>
      <c r="R415" s="149"/>
      <c r="S415" s="152"/>
      <c r="T415" s="152"/>
      <c r="U415" s="152"/>
      <c r="V415" s="149"/>
      <c r="W415" s="149"/>
      <c r="X415" s="151"/>
      <c r="Y415" s="150"/>
      <c r="Z415" s="149"/>
      <c r="AA415" s="148"/>
    </row>
    <row r="416" spans="9:27">
      <c r="I416" s="149"/>
      <c r="K416" s="149"/>
      <c r="L416" s="149"/>
      <c r="O416" s="153"/>
      <c r="P416" s="148"/>
      <c r="R416" s="149"/>
      <c r="S416" s="152"/>
      <c r="T416" s="152"/>
      <c r="U416" s="152"/>
      <c r="V416" s="149"/>
      <c r="W416" s="149"/>
      <c r="X416" s="151"/>
      <c r="Y416" s="150"/>
      <c r="Z416" s="149"/>
      <c r="AA416" s="148"/>
    </row>
    <row r="417" spans="9:27">
      <c r="I417" s="149"/>
      <c r="K417" s="149"/>
      <c r="L417" s="149"/>
      <c r="O417" s="153"/>
      <c r="P417" s="148"/>
      <c r="R417" s="149"/>
      <c r="S417" s="152"/>
      <c r="T417" s="152"/>
      <c r="U417" s="152"/>
      <c r="V417" s="149"/>
      <c r="W417" s="149"/>
      <c r="X417" s="151"/>
      <c r="Y417" s="150"/>
      <c r="Z417" s="149"/>
      <c r="AA417" s="148"/>
    </row>
    <row r="418" spans="9:27">
      <c r="I418" s="149"/>
      <c r="K418" s="149"/>
      <c r="L418" s="149"/>
      <c r="O418" s="153"/>
      <c r="P418" s="148"/>
      <c r="R418" s="149"/>
      <c r="S418" s="152"/>
      <c r="T418" s="152"/>
      <c r="U418" s="152"/>
      <c r="V418" s="149"/>
      <c r="W418" s="149"/>
      <c r="X418" s="151"/>
      <c r="Y418" s="150"/>
      <c r="Z418" s="149"/>
      <c r="AA418" s="148"/>
    </row>
    <row r="419" spans="9:27">
      <c r="I419" s="149"/>
      <c r="K419" s="149"/>
      <c r="L419" s="149"/>
      <c r="O419" s="153"/>
      <c r="P419" s="148"/>
      <c r="R419" s="149"/>
      <c r="S419" s="152"/>
      <c r="T419" s="152"/>
      <c r="U419" s="152"/>
      <c r="V419" s="149"/>
      <c r="W419" s="149"/>
      <c r="X419" s="151"/>
      <c r="Y419" s="150"/>
      <c r="Z419" s="149"/>
      <c r="AA419" s="148"/>
    </row>
    <row r="420" spans="9:27">
      <c r="I420" s="149"/>
      <c r="K420" s="149"/>
      <c r="L420" s="149"/>
      <c r="O420" s="153"/>
      <c r="P420" s="148"/>
      <c r="R420" s="149"/>
      <c r="S420" s="152"/>
      <c r="T420" s="152"/>
      <c r="U420" s="152"/>
      <c r="V420" s="149"/>
      <c r="W420" s="149"/>
      <c r="X420" s="151"/>
      <c r="Y420" s="150"/>
      <c r="Z420" s="149"/>
      <c r="AA420" s="148"/>
    </row>
    <row r="421" spans="9:27">
      <c r="I421" s="149"/>
      <c r="K421" s="149"/>
      <c r="L421" s="149"/>
      <c r="O421" s="153"/>
      <c r="P421" s="148"/>
      <c r="R421" s="149"/>
      <c r="S421" s="152"/>
      <c r="T421" s="152"/>
      <c r="U421" s="152"/>
      <c r="V421" s="149"/>
      <c r="W421" s="149"/>
      <c r="X421" s="151"/>
      <c r="Y421" s="150"/>
      <c r="Z421" s="149"/>
      <c r="AA421" s="148"/>
    </row>
    <row r="422" spans="9:27">
      <c r="I422" s="149"/>
      <c r="K422" s="149"/>
      <c r="L422" s="149"/>
      <c r="O422" s="153"/>
      <c r="P422" s="148"/>
      <c r="R422" s="149"/>
      <c r="S422" s="152"/>
      <c r="T422" s="152"/>
      <c r="U422" s="152"/>
      <c r="V422" s="149"/>
      <c r="W422" s="149"/>
      <c r="X422" s="151"/>
      <c r="Y422" s="150"/>
      <c r="Z422" s="149"/>
      <c r="AA422" s="148"/>
    </row>
    <row r="423" spans="9:27">
      <c r="I423" s="149"/>
      <c r="K423" s="149"/>
      <c r="L423" s="149"/>
      <c r="O423" s="153"/>
      <c r="P423" s="148"/>
      <c r="R423" s="149"/>
      <c r="S423" s="152"/>
      <c r="T423" s="152"/>
      <c r="U423" s="152"/>
      <c r="V423" s="149"/>
      <c r="W423" s="149"/>
      <c r="X423" s="151"/>
      <c r="Y423" s="150"/>
      <c r="Z423" s="149"/>
      <c r="AA423" s="148"/>
    </row>
    <row r="424" spans="9:27">
      <c r="I424" s="149"/>
      <c r="K424" s="149"/>
      <c r="L424" s="149"/>
      <c r="O424" s="153"/>
      <c r="P424" s="148"/>
      <c r="R424" s="149"/>
      <c r="S424" s="152"/>
      <c r="T424" s="152"/>
      <c r="U424" s="152"/>
      <c r="V424" s="149"/>
      <c r="W424" s="149"/>
      <c r="X424" s="151"/>
      <c r="Y424" s="150"/>
      <c r="Z424" s="149"/>
      <c r="AA424" s="148"/>
    </row>
    <row r="425" spans="9:27">
      <c r="I425" s="149"/>
      <c r="K425" s="149"/>
      <c r="L425" s="149"/>
      <c r="O425" s="153"/>
      <c r="P425" s="148"/>
      <c r="R425" s="149"/>
      <c r="S425" s="152"/>
      <c r="T425" s="152"/>
      <c r="U425" s="152"/>
      <c r="V425" s="149"/>
      <c r="W425" s="149"/>
      <c r="X425" s="151"/>
      <c r="Y425" s="150"/>
      <c r="Z425" s="149"/>
      <c r="AA425" s="148"/>
    </row>
    <row r="426" spans="9:27">
      <c r="I426" s="149"/>
      <c r="K426" s="149"/>
      <c r="L426" s="149"/>
      <c r="O426" s="153"/>
      <c r="P426" s="148"/>
      <c r="R426" s="149"/>
      <c r="S426" s="152"/>
      <c r="T426" s="152"/>
      <c r="U426" s="152"/>
      <c r="V426" s="149"/>
      <c r="W426" s="149"/>
      <c r="X426" s="151"/>
      <c r="Y426" s="150"/>
      <c r="Z426" s="149"/>
      <c r="AA426" s="148"/>
    </row>
    <row r="427" spans="9:27">
      <c r="I427" s="149"/>
      <c r="K427" s="149"/>
      <c r="L427" s="149"/>
      <c r="O427" s="153"/>
      <c r="P427" s="148"/>
      <c r="R427" s="149"/>
      <c r="S427" s="152"/>
      <c r="T427" s="152"/>
      <c r="U427" s="152"/>
      <c r="V427" s="149"/>
      <c r="W427" s="149"/>
      <c r="X427" s="151"/>
      <c r="Y427" s="150"/>
      <c r="Z427" s="149"/>
      <c r="AA427" s="148"/>
    </row>
    <row r="428" spans="9:27">
      <c r="I428" s="149"/>
      <c r="K428" s="149"/>
      <c r="L428" s="149"/>
      <c r="O428" s="153"/>
      <c r="P428" s="148"/>
      <c r="R428" s="149"/>
      <c r="S428" s="152"/>
      <c r="T428" s="152"/>
      <c r="U428" s="152"/>
      <c r="V428" s="149"/>
      <c r="W428" s="149"/>
      <c r="X428" s="151"/>
      <c r="Y428" s="150"/>
      <c r="Z428" s="149"/>
      <c r="AA428" s="148"/>
    </row>
    <row r="429" spans="9:27">
      <c r="I429" s="149"/>
      <c r="K429" s="149"/>
      <c r="L429" s="149"/>
      <c r="O429" s="153"/>
      <c r="P429" s="148"/>
      <c r="R429" s="149"/>
      <c r="S429" s="152"/>
      <c r="T429" s="152"/>
      <c r="U429" s="152"/>
      <c r="V429" s="149"/>
      <c r="W429" s="149"/>
      <c r="X429" s="151"/>
      <c r="Y429" s="150"/>
      <c r="Z429" s="149"/>
      <c r="AA429" s="148"/>
    </row>
    <row r="430" spans="9:27">
      <c r="I430" s="149"/>
      <c r="K430" s="149"/>
      <c r="L430" s="149"/>
      <c r="O430" s="153"/>
      <c r="P430" s="148"/>
      <c r="R430" s="149"/>
      <c r="S430" s="152"/>
      <c r="T430" s="152"/>
      <c r="U430" s="152"/>
      <c r="V430" s="149"/>
      <c r="W430" s="149"/>
      <c r="X430" s="151"/>
      <c r="Y430" s="150"/>
      <c r="Z430" s="149"/>
      <c r="AA430" s="148"/>
    </row>
    <row r="431" spans="9:27">
      <c r="I431" s="149"/>
      <c r="K431" s="149"/>
      <c r="L431" s="149"/>
      <c r="O431" s="153"/>
      <c r="P431" s="148"/>
      <c r="R431" s="149"/>
      <c r="S431" s="152"/>
      <c r="T431" s="152"/>
      <c r="U431" s="152"/>
      <c r="V431" s="149"/>
      <c r="W431" s="149"/>
      <c r="X431" s="151"/>
      <c r="Y431" s="150"/>
      <c r="Z431" s="149"/>
      <c r="AA431" s="148"/>
    </row>
    <row r="432" spans="9:27">
      <c r="I432" s="149"/>
      <c r="K432" s="149"/>
      <c r="L432" s="149"/>
      <c r="O432" s="153"/>
      <c r="P432" s="148"/>
      <c r="R432" s="149"/>
      <c r="S432" s="152"/>
      <c r="T432" s="152"/>
      <c r="U432" s="152"/>
      <c r="V432" s="149"/>
      <c r="W432" s="149"/>
      <c r="X432" s="151"/>
      <c r="Y432" s="150"/>
      <c r="Z432" s="149"/>
      <c r="AA432" s="148"/>
    </row>
    <row r="433" spans="9:27">
      <c r="I433" s="149"/>
      <c r="K433" s="149"/>
      <c r="L433" s="149"/>
      <c r="O433" s="153"/>
      <c r="P433" s="148"/>
      <c r="R433" s="149"/>
      <c r="S433" s="152"/>
      <c r="T433" s="152"/>
      <c r="U433" s="152"/>
      <c r="V433" s="149"/>
      <c r="W433" s="149"/>
      <c r="X433" s="151"/>
      <c r="Y433" s="150"/>
      <c r="Z433" s="149"/>
      <c r="AA433" s="148"/>
    </row>
    <row r="434" spans="9:27">
      <c r="I434" s="149"/>
      <c r="K434" s="149"/>
      <c r="L434" s="149"/>
      <c r="O434" s="153"/>
      <c r="P434" s="148"/>
      <c r="R434" s="149"/>
      <c r="S434" s="152"/>
      <c r="T434" s="152"/>
      <c r="U434" s="152"/>
      <c r="V434" s="149"/>
      <c r="W434" s="149"/>
      <c r="X434" s="151"/>
      <c r="Y434" s="150"/>
      <c r="Z434" s="149"/>
      <c r="AA434" s="148"/>
    </row>
    <row r="435" spans="9:27">
      <c r="I435" s="149"/>
      <c r="K435" s="149"/>
      <c r="L435" s="149"/>
      <c r="O435" s="153"/>
      <c r="P435" s="148"/>
      <c r="R435" s="149"/>
      <c r="S435" s="152"/>
      <c r="T435" s="152"/>
      <c r="U435" s="152"/>
      <c r="V435" s="149"/>
      <c r="W435" s="149"/>
      <c r="X435" s="151"/>
      <c r="Y435" s="150"/>
      <c r="Z435" s="149"/>
      <c r="AA435" s="148"/>
    </row>
    <row r="436" spans="9:27">
      <c r="I436" s="149"/>
      <c r="K436" s="149"/>
      <c r="L436" s="149"/>
      <c r="O436" s="153"/>
      <c r="P436" s="148"/>
      <c r="R436" s="149"/>
      <c r="S436" s="152"/>
      <c r="T436" s="152"/>
      <c r="U436" s="152"/>
      <c r="V436" s="149"/>
      <c r="W436" s="149"/>
      <c r="X436" s="151"/>
      <c r="Y436" s="150"/>
      <c r="Z436" s="149"/>
      <c r="AA436" s="148"/>
    </row>
    <row r="437" spans="9:27">
      <c r="I437" s="149"/>
      <c r="K437" s="149"/>
      <c r="L437" s="149"/>
      <c r="O437" s="153"/>
      <c r="P437" s="148"/>
      <c r="R437" s="149"/>
      <c r="S437" s="152"/>
      <c r="T437" s="152"/>
      <c r="U437" s="152"/>
      <c r="V437" s="149"/>
      <c r="W437" s="149"/>
      <c r="X437" s="151"/>
      <c r="Y437" s="150"/>
      <c r="Z437" s="149"/>
      <c r="AA437" s="148"/>
    </row>
    <row r="438" spans="9:27">
      <c r="I438" s="149"/>
      <c r="K438" s="149"/>
      <c r="L438" s="149"/>
      <c r="O438" s="153"/>
      <c r="P438" s="148"/>
      <c r="R438" s="149"/>
      <c r="S438" s="152"/>
      <c r="T438" s="152"/>
      <c r="U438" s="152"/>
      <c r="V438" s="149"/>
      <c r="W438" s="149"/>
      <c r="X438" s="151"/>
      <c r="Y438" s="150"/>
      <c r="Z438" s="149"/>
      <c r="AA438" s="148"/>
    </row>
    <row r="439" spans="9:27">
      <c r="I439" s="149"/>
      <c r="K439" s="149"/>
      <c r="L439" s="149"/>
      <c r="O439" s="153"/>
      <c r="P439" s="148"/>
      <c r="R439" s="149"/>
      <c r="S439" s="152"/>
      <c r="T439" s="152"/>
      <c r="U439" s="152"/>
      <c r="V439" s="149"/>
      <c r="W439" s="149"/>
      <c r="X439" s="151"/>
      <c r="Y439" s="150"/>
      <c r="Z439" s="149"/>
      <c r="AA439" s="148"/>
    </row>
    <row r="440" spans="9:27">
      <c r="I440" s="149"/>
      <c r="K440" s="149"/>
      <c r="L440" s="149"/>
      <c r="O440" s="153"/>
      <c r="P440" s="148"/>
      <c r="R440" s="149"/>
      <c r="S440" s="152"/>
      <c r="T440" s="152"/>
      <c r="U440" s="152"/>
      <c r="V440" s="149"/>
      <c r="W440" s="149"/>
      <c r="X440" s="151"/>
      <c r="Y440" s="150"/>
      <c r="Z440" s="149"/>
      <c r="AA440" s="148"/>
    </row>
    <row r="441" spans="9:27">
      <c r="I441" s="149"/>
      <c r="K441" s="149"/>
      <c r="L441" s="149"/>
      <c r="O441" s="153"/>
      <c r="P441" s="148"/>
      <c r="R441" s="149"/>
      <c r="S441" s="152"/>
      <c r="T441" s="152"/>
      <c r="U441" s="152"/>
      <c r="V441" s="149"/>
      <c r="W441" s="149"/>
      <c r="X441" s="151"/>
      <c r="Y441" s="150"/>
      <c r="Z441" s="149"/>
      <c r="AA441" s="148"/>
    </row>
    <row r="442" spans="9:27">
      <c r="I442" s="149"/>
      <c r="K442" s="149"/>
      <c r="L442" s="149"/>
      <c r="O442" s="153"/>
      <c r="P442" s="148"/>
      <c r="R442" s="149"/>
      <c r="S442" s="152"/>
      <c r="T442" s="152"/>
      <c r="U442" s="152"/>
      <c r="V442" s="149"/>
      <c r="W442" s="149"/>
      <c r="X442" s="151"/>
      <c r="Y442" s="150"/>
      <c r="Z442" s="149"/>
      <c r="AA442" s="148"/>
    </row>
    <row r="443" spans="9:27">
      <c r="I443" s="149"/>
      <c r="K443" s="149"/>
      <c r="L443" s="149"/>
      <c r="O443" s="153"/>
      <c r="P443" s="148"/>
      <c r="R443" s="149"/>
      <c r="S443" s="152"/>
      <c r="T443" s="152"/>
      <c r="U443" s="152"/>
      <c r="V443" s="149"/>
      <c r="W443" s="149"/>
      <c r="X443" s="151"/>
      <c r="Y443" s="150"/>
      <c r="Z443" s="149"/>
      <c r="AA443" s="148"/>
    </row>
    <row r="444" spans="9:27">
      <c r="I444" s="149"/>
      <c r="K444" s="149"/>
      <c r="L444" s="149"/>
      <c r="O444" s="153"/>
      <c r="P444" s="148"/>
      <c r="R444" s="149"/>
      <c r="S444" s="152"/>
      <c r="T444" s="152"/>
      <c r="U444" s="152"/>
      <c r="V444" s="149"/>
      <c r="W444" s="149"/>
      <c r="X444" s="151"/>
      <c r="Y444" s="150"/>
      <c r="Z444" s="149"/>
      <c r="AA444" s="148"/>
    </row>
    <row r="445" spans="9:27">
      <c r="I445" s="149"/>
      <c r="K445" s="149"/>
      <c r="L445" s="149"/>
      <c r="O445" s="153"/>
      <c r="P445" s="148"/>
      <c r="R445" s="149"/>
      <c r="S445" s="152"/>
      <c r="T445" s="152"/>
      <c r="U445" s="152"/>
      <c r="V445" s="149"/>
      <c r="W445" s="149"/>
      <c r="X445" s="151"/>
      <c r="Y445" s="150"/>
      <c r="Z445" s="149"/>
      <c r="AA445" s="148"/>
    </row>
    <row r="446" spans="9:27">
      <c r="I446" s="149"/>
      <c r="K446" s="149"/>
      <c r="L446" s="149"/>
      <c r="O446" s="153"/>
      <c r="P446" s="148"/>
      <c r="R446" s="149"/>
      <c r="S446" s="152"/>
      <c r="T446" s="152"/>
      <c r="U446" s="152"/>
      <c r="V446" s="149"/>
      <c r="W446" s="149"/>
      <c r="X446" s="151"/>
      <c r="Y446" s="150"/>
      <c r="Z446" s="149"/>
      <c r="AA446" s="148"/>
    </row>
    <row r="447" spans="9:27">
      <c r="I447" s="149"/>
      <c r="K447" s="149"/>
      <c r="L447" s="149"/>
      <c r="O447" s="153"/>
      <c r="P447" s="148"/>
      <c r="R447" s="149"/>
      <c r="S447" s="152"/>
      <c r="T447" s="152"/>
      <c r="U447" s="152"/>
      <c r="V447" s="149"/>
      <c r="W447" s="149"/>
      <c r="X447" s="151"/>
      <c r="Y447" s="150"/>
      <c r="Z447" s="149"/>
      <c r="AA447" s="148"/>
    </row>
    <row r="448" spans="9:27">
      <c r="I448" s="149"/>
      <c r="K448" s="149"/>
      <c r="L448" s="149"/>
      <c r="O448" s="153"/>
      <c r="P448" s="148"/>
      <c r="R448" s="149"/>
      <c r="S448" s="152"/>
      <c r="T448" s="152"/>
      <c r="U448" s="152"/>
      <c r="V448" s="149"/>
      <c r="W448" s="149"/>
      <c r="X448" s="151"/>
      <c r="Y448" s="150"/>
      <c r="Z448" s="149"/>
      <c r="AA448" s="148"/>
    </row>
    <row r="449" spans="9:27">
      <c r="I449" s="149"/>
      <c r="K449" s="149"/>
      <c r="L449" s="149"/>
      <c r="O449" s="153"/>
      <c r="P449" s="148"/>
      <c r="R449" s="149"/>
      <c r="S449" s="152"/>
      <c r="T449" s="152"/>
      <c r="U449" s="152"/>
      <c r="V449" s="149"/>
      <c r="W449" s="149"/>
      <c r="X449" s="151"/>
      <c r="Y449" s="150"/>
      <c r="Z449" s="149"/>
      <c r="AA449" s="148"/>
    </row>
    <row r="450" spans="9:27">
      <c r="I450" s="149"/>
      <c r="K450" s="149"/>
      <c r="L450" s="149"/>
      <c r="O450" s="153"/>
      <c r="P450" s="148"/>
      <c r="R450" s="149"/>
      <c r="S450" s="152"/>
      <c r="T450" s="152"/>
      <c r="U450" s="152"/>
      <c r="V450" s="149"/>
      <c r="W450" s="149"/>
      <c r="X450" s="151"/>
      <c r="Y450" s="150"/>
      <c r="Z450" s="149"/>
      <c r="AA450" s="148"/>
    </row>
    <row r="451" spans="9:27">
      <c r="I451" s="149"/>
      <c r="K451" s="149"/>
      <c r="L451" s="149"/>
      <c r="O451" s="153"/>
      <c r="P451" s="148"/>
      <c r="R451" s="149"/>
      <c r="S451" s="152"/>
      <c r="T451" s="152"/>
      <c r="U451" s="152"/>
      <c r="V451" s="149"/>
      <c r="W451" s="149"/>
      <c r="X451" s="151"/>
      <c r="Y451" s="150"/>
      <c r="Z451" s="149"/>
      <c r="AA451" s="148"/>
    </row>
    <row r="452" spans="9:27">
      <c r="I452" s="149"/>
      <c r="K452" s="149"/>
      <c r="L452" s="149"/>
      <c r="O452" s="153"/>
      <c r="P452" s="148"/>
      <c r="R452" s="149"/>
      <c r="S452" s="152"/>
      <c r="T452" s="152"/>
      <c r="U452" s="152"/>
      <c r="V452" s="149"/>
      <c r="W452" s="149"/>
      <c r="X452" s="151"/>
      <c r="Y452" s="150"/>
      <c r="Z452" s="149"/>
      <c r="AA452" s="148"/>
    </row>
    <row r="453" spans="9:27">
      <c r="I453" s="149"/>
      <c r="K453" s="149"/>
      <c r="L453" s="149"/>
      <c r="O453" s="153"/>
      <c r="P453" s="148"/>
      <c r="R453" s="149"/>
      <c r="S453" s="152"/>
      <c r="T453" s="152"/>
      <c r="U453" s="152"/>
      <c r="V453" s="149"/>
      <c r="W453" s="149"/>
      <c r="X453" s="151"/>
      <c r="Y453" s="150"/>
      <c r="Z453" s="149"/>
      <c r="AA453" s="148"/>
    </row>
    <row r="454" spans="9:27">
      <c r="I454" s="149"/>
      <c r="K454" s="149"/>
      <c r="L454" s="149"/>
      <c r="O454" s="153"/>
      <c r="P454" s="148"/>
      <c r="R454" s="149"/>
      <c r="S454" s="152"/>
      <c r="T454" s="152"/>
      <c r="U454" s="152"/>
      <c r="V454" s="149"/>
      <c r="W454" s="149"/>
      <c r="X454" s="151"/>
      <c r="Y454" s="150"/>
      <c r="Z454" s="149"/>
      <c r="AA454" s="148"/>
    </row>
    <row r="455" spans="9:27">
      <c r="I455" s="149"/>
      <c r="K455" s="149"/>
      <c r="L455" s="149"/>
      <c r="O455" s="153"/>
      <c r="P455" s="148"/>
      <c r="R455" s="149"/>
      <c r="S455" s="152"/>
      <c r="T455" s="152"/>
      <c r="U455" s="152"/>
      <c r="V455" s="149"/>
      <c r="W455" s="149"/>
      <c r="X455" s="151"/>
      <c r="Y455" s="150"/>
      <c r="Z455" s="149"/>
      <c r="AA455" s="148"/>
    </row>
    <row r="456" spans="9:27">
      <c r="I456" s="149"/>
      <c r="K456" s="149"/>
      <c r="L456" s="149"/>
      <c r="O456" s="153"/>
      <c r="P456" s="148"/>
      <c r="R456" s="149"/>
      <c r="S456" s="152"/>
      <c r="T456" s="152"/>
      <c r="U456" s="152"/>
      <c r="V456" s="149"/>
      <c r="W456" s="149"/>
      <c r="X456" s="151"/>
      <c r="Y456" s="150"/>
      <c r="Z456" s="149"/>
      <c r="AA456" s="148"/>
    </row>
    <row r="457" spans="9:27">
      <c r="I457" s="149"/>
      <c r="K457" s="149"/>
      <c r="L457" s="149"/>
      <c r="O457" s="153"/>
      <c r="P457" s="148"/>
      <c r="R457" s="149"/>
      <c r="S457" s="152"/>
      <c r="T457" s="152"/>
      <c r="U457" s="152"/>
      <c r="V457" s="149"/>
      <c r="W457" s="149"/>
      <c r="X457" s="151"/>
      <c r="Y457" s="150"/>
      <c r="Z457" s="149"/>
      <c r="AA457" s="148"/>
    </row>
    <row r="458" spans="9:27">
      <c r="I458" s="149"/>
      <c r="K458" s="149"/>
      <c r="L458" s="149"/>
      <c r="O458" s="153"/>
      <c r="P458" s="148"/>
      <c r="R458" s="149"/>
      <c r="S458" s="152"/>
      <c r="T458" s="152"/>
      <c r="U458" s="152"/>
      <c r="V458" s="149"/>
      <c r="W458" s="149"/>
      <c r="X458" s="151"/>
      <c r="Y458" s="150"/>
      <c r="Z458" s="149"/>
      <c r="AA458" s="148"/>
    </row>
    <row r="459" spans="9:27">
      <c r="I459" s="149"/>
      <c r="K459" s="149"/>
      <c r="L459" s="149"/>
      <c r="O459" s="153"/>
      <c r="P459" s="148"/>
      <c r="R459" s="149"/>
      <c r="S459" s="152"/>
      <c r="T459" s="152"/>
      <c r="U459" s="152"/>
      <c r="V459" s="149"/>
      <c r="W459" s="149"/>
      <c r="X459" s="151"/>
      <c r="Y459" s="150"/>
      <c r="Z459" s="149"/>
      <c r="AA459" s="148"/>
    </row>
    <row r="460" spans="9:27">
      <c r="I460" s="149"/>
      <c r="K460" s="149"/>
      <c r="L460" s="149"/>
      <c r="O460" s="153"/>
      <c r="P460" s="148"/>
      <c r="R460" s="149"/>
      <c r="S460" s="152"/>
      <c r="T460" s="152"/>
      <c r="U460" s="152"/>
      <c r="V460" s="149"/>
      <c r="W460" s="149"/>
      <c r="X460" s="151"/>
      <c r="Y460" s="150"/>
      <c r="Z460" s="149"/>
      <c r="AA460" s="148"/>
    </row>
    <row r="461" spans="9:27">
      <c r="I461" s="149"/>
      <c r="K461" s="149"/>
      <c r="L461" s="149"/>
      <c r="O461" s="153"/>
      <c r="P461" s="148"/>
      <c r="R461" s="149"/>
      <c r="S461" s="152"/>
      <c r="T461" s="152"/>
      <c r="U461" s="152"/>
      <c r="V461" s="149"/>
      <c r="W461" s="149"/>
      <c r="X461" s="151"/>
      <c r="Y461" s="150"/>
      <c r="Z461" s="149"/>
      <c r="AA461" s="148"/>
    </row>
    <row r="462" spans="9:27">
      <c r="I462" s="149"/>
      <c r="K462" s="149"/>
      <c r="L462" s="149"/>
      <c r="O462" s="153"/>
      <c r="P462" s="148"/>
      <c r="R462" s="149"/>
      <c r="S462" s="152"/>
      <c r="T462" s="152"/>
      <c r="U462" s="152"/>
      <c r="V462" s="149"/>
      <c r="W462" s="149"/>
      <c r="X462" s="151"/>
      <c r="Y462" s="150"/>
      <c r="Z462" s="149"/>
      <c r="AA462" s="148"/>
    </row>
    <row r="463" spans="9:27">
      <c r="I463" s="149"/>
      <c r="K463" s="149"/>
      <c r="L463" s="149"/>
      <c r="O463" s="153"/>
      <c r="P463" s="148"/>
      <c r="R463" s="149"/>
      <c r="S463" s="152"/>
      <c r="T463" s="152"/>
      <c r="U463" s="152"/>
      <c r="V463" s="149"/>
      <c r="W463" s="149"/>
      <c r="X463" s="151"/>
      <c r="Y463" s="150"/>
      <c r="Z463" s="149"/>
      <c r="AA463" s="148"/>
    </row>
    <row r="464" spans="9:27">
      <c r="I464" s="149"/>
      <c r="K464" s="149"/>
      <c r="L464" s="149"/>
      <c r="O464" s="153"/>
      <c r="P464" s="148"/>
      <c r="R464" s="149"/>
      <c r="S464" s="152"/>
      <c r="T464" s="152"/>
      <c r="U464" s="152"/>
      <c r="V464" s="149"/>
      <c r="W464" s="149"/>
      <c r="X464" s="151"/>
      <c r="Y464" s="150"/>
      <c r="Z464" s="149"/>
      <c r="AA464" s="148"/>
    </row>
    <row r="465" spans="9:27">
      <c r="I465" s="149"/>
      <c r="K465" s="149"/>
      <c r="L465" s="149"/>
      <c r="O465" s="153"/>
      <c r="P465" s="148"/>
      <c r="R465" s="149"/>
      <c r="S465" s="152"/>
      <c r="T465" s="152"/>
      <c r="U465" s="152"/>
      <c r="V465" s="149"/>
      <c r="W465" s="149"/>
      <c r="X465" s="151"/>
      <c r="Y465" s="150"/>
      <c r="Z465" s="149"/>
      <c r="AA465" s="148"/>
    </row>
    <row r="466" spans="9:27">
      <c r="I466" s="149"/>
      <c r="K466" s="149"/>
      <c r="L466" s="149"/>
      <c r="O466" s="153"/>
      <c r="P466" s="148"/>
      <c r="R466" s="149"/>
      <c r="S466" s="152"/>
      <c r="T466" s="152"/>
      <c r="U466" s="152"/>
      <c r="V466" s="149"/>
      <c r="W466" s="149"/>
      <c r="X466" s="151"/>
      <c r="Y466" s="150"/>
      <c r="Z466" s="149"/>
      <c r="AA466" s="148"/>
    </row>
    <row r="467" spans="9:27">
      <c r="I467" s="149"/>
      <c r="K467" s="149"/>
      <c r="L467" s="149"/>
      <c r="O467" s="153"/>
      <c r="P467" s="148"/>
      <c r="R467" s="149"/>
      <c r="S467" s="152"/>
      <c r="T467" s="152"/>
      <c r="U467" s="152"/>
      <c r="V467" s="149"/>
      <c r="W467" s="149"/>
      <c r="X467" s="151"/>
      <c r="Y467" s="150"/>
      <c r="Z467" s="149"/>
      <c r="AA467" s="148"/>
    </row>
    <row r="468" spans="9:27">
      <c r="I468" s="149"/>
      <c r="K468" s="149"/>
      <c r="L468" s="149"/>
      <c r="O468" s="153"/>
      <c r="P468" s="148"/>
      <c r="R468" s="149"/>
      <c r="S468" s="152"/>
      <c r="T468" s="152"/>
      <c r="U468" s="152"/>
      <c r="V468" s="149"/>
      <c r="W468" s="149"/>
      <c r="X468" s="151"/>
      <c r="Y468" s="150"/>
      <c r="Z468" s="149"/>
      <c r="AA468" s="148"/>
    </row>
    <row r="469" spans="9:27">
      <c r="I469" s="149"/>
      <c r="K469" s="149"/>
      <c r="L469" s="149"/>
      <c r="O469" s="153"/>
      <c r="P469" s="148"/>
      <c r="R469" s="149"/>
      <c r="S469" s="152"/>
      <c r="T469" s="152"/>
      <c r="U469" s="152"/>
      <c r="V469" s="149"/>
      <c r="W469" s="149"/>
      <c r="X469" s="151"/>
      <c r="Y469" s="150"/>
      <c r="Z469" s="149"/>
      <c r="AA469" s="148"/>
    </row>
    <row r="470" spans="9:27">
      <c r="I470" s="149"/>
      <c r="K470" s="149"/>
      <c r="L470" s="149"/>
      <c r="O470" s="153"/>
      <c r="P470" s="148"/>
      <c r="R470" s="149"/>
      <c r="S470" s="152"/>
      <c r="T470" s="152"/>
      <c r="U470" s="152"/>
      <c r="V470" s="149"/>
      <c r="W470" s="149"/>
      <c r="X470" s="151"/>
      <c r="Y470" s="150"/>
      <c r="Z470" s="149"/>
      <c r="AA470" s="148"/>
    </row>
    <row r="471" spans="9:27">
      <c r="I471" s="149"/>
      <c r="K471" s="149"/>
      <c r="L471" s="149"/>
      <c r="O471" s="153"/>
      <c r="P471" s="148"/>
      <c r="R471" s="149"/>
      <c r="S471" s="152"/>
      <c r="T471" s="152"/>
      <c r="U471" s="152"/>
      <c r="V471" s="149"/>
      <c r="W471" s="149"/>
      <c r="X471" s="151"/>
      <c r="Y471" s="150"/>
      <c r="Z471" s="149"/>
      <c r="AA471" s="148"/>
    </row>
    <row r="472" spans="9:27">
      <c r="I472" s="149"/>
      <c r="K472" s="149"/>
      <c r="L472" s="149"/>
      <c r="O472" s="153"/>
      <c r="P472" s="148"/>
      <c r="R472" s="149"/>
      <c r="S472" s="152"/>
      <c r="T472" s="152"/>
      <c r="U472" s="152"/>
      <c r="V472" s="149"/>
      <c r="W472" s="149"/>
      <c r="X472" s="151"/>
      <c r="Y472" s="150"/>
      <c r="Z472" s="149"/>
      <c r="AA472" s="148"/>
    </row>
    <row r="473" spans="9:27">
      <c r="I473" s="149"/>
      <c r="K473" s="149"/>
      <c r="L473" s="149"/>
      <c r="O473" s="153"/>
      <c r="P473" s="148"/>
      <c r="R473" s="149"/>
      <c r="S473" s="152"/>
      <c r="T473" s="152"/>
      <c r="U473" s="152"/>
      <c r="V473" s="149"/>
      <c r="W473" s="149"/>
      <c r="X473" s="151"/>
      <c r="Y473" s="150"/>
      <c r="Z473" s="149"/>
      <c r="AA473" s="148"/>
    </row>
    <row r="474" spans="9:27">
      <c r="I474" s="149"/>
      <c r="K474" s="149"/>
      <c r="L474" s="149"/>
      <c r="O474" s="153"/>
      <c r="P474" s="148"/>
      <c r="R474" s="149"/>
      <c r="S474" s="152"/>
      <c r="T474" s="152"/>
      <c r="U474" s="152"/>
      <c r="V474" s="149"/>
      <c r="W474" s="149"/>
      <c r="X474" s="151"/>
      <c r="Y474" s="150"/>
      <c r="Z474" s="149"/>
      <c r="AA474" s="148"/>
    </row>
    <row r="475" spans="9:27">
      <c r="I475" s="149"/>
      <c r="K475" s="149"/>
      <c r="L475" s="149"/>
      <c r="O475" s="153"/>
      <c r="P475" s="148"/>
      <c r="R475" s="149"/>
      <c r="S475" s="152"/>
      <c r="T475" s="152"/>
      <c r="U475" s="152"/>
      <c r="V475" s="149"/>
      <c r="W475" s="149"/>
      <c r="X475" s="151"/>
      <c r="Y475" s="150"/>
      <c r="Z475" s="149"/>
      <c r="AA475" s="148"/>
    </row>
    <row r="476" spans="9:27">
      <c r="I476" s="149"/>
      <c r="K476" s="149"/>
      <c r="L476" s="149"/>
      <c r="O476" s="153"/>
      <c r="P476" s="148"/>
      <c r="R476" s="149"/>
      <c r="S476" s="152"/>
      <c r="T476" s="152"/>
      <c r="U476" s="152"/>
      <c r="V476" s="149"/>
      <c r="W476" s="149"/>
      <c r="X476" s="151"/>
      <c r="Y476" s="150"/>
      <c r="Z476" s="149"/>
      <c r="AA476" s="148"/>
    </row>
    <row r="477" spans="9:27">
      <c r="I477" s="149"/>
      <c r="K477" s="149"/>
      <c r="L477" s="149"/>
      <c r="O477" s="153"/>
      <c r="P477" s="148"/>
      <c r="R477" s="149"/>
      <c r="S477" s="152"/>
      <c r="T477" s="152"/>
      <c r="U477" s="152"/>
      <c r="V477" s="149"/>
      <c r="W477" s="149"/>
      <c r="X477" s="151"/>
      <c r="Y477" s="150"/>
      <c r="Z477" s="149"/>
      <c r="AA477" s="148"/>
    </row>
    <row r="478" spans="9:27">
      <c r="I478" s="149"/>
      <c r="K478" s="149"/>
      <c r="L478" s="149"/>
      <c r="O478" s="153"/>
      <c r="P478" s="148"/>
      <c r="R478" s="149"/>
      <c r="S478" s="152"/>
      <c r="T478" s="152"/>
      <c r="U478" s="152"/>
      <c r="V478" s="149"/>
      <c r="W478" s="149"/>
      <c r="X478" s="151"/>
      <c r="Y478" s="150"/>
      <c r="Z478" s="149"/>
      <c r="AA478" s="148"/>
    </row>
    <row r="479" spans="9:27">
      <c r="I479" s="149"/>
      <c r="K479" s="149"/>
      <c r="L479" s="149"/>
      <c r="O479" s="153"/>
      <c r="P479" s="148"/>
      <c r="R479" s="149"/>
      <c r="S479" s="152"/>
      <c r="T479" s="152"/>
      <c r="U479" s="152"/>
      <c r="V479" s="149"/>
      <c r="W479" s="149"/>
      <c r="X479" s="151"/>
      <c r="Y479" s="150"/>
      <c r="Z479" s="149"/>
      <c r="AA479" s="148"/>
    </row>
    <row r="480" spans="9:27">
      <c r="I480" s="149"/>
      <c r="K480" s="149"/>
      <c r="L480" s="149"/>
      <c r="O480" s="153"/>
      <c r="P480" s="148"/>
      <c r="R480" s="149"/>
      <c r="S480" s="152"/>
      <c r="T480" s="152"/>
      <c r="U480" s="152"/>
      <c r="V480" s="149"/>
      <c r="W480" s="149"/>
      <c r="X480" s="151"/>
      <c r="Y480" s="150"/>
      <c r="Z480" s="149"/>
      <c r="AA480" s="148"/>
    </row>
    <row r="481" spans="9:27">
      <c r="I481" s="149"/>
      <c r="K481" s="149"/>
      <c r="L481" s="149"/>
      <c r="O481" s="153"/>
      <c r="P481" s="148"/>
      <c r="R481" s="149"/>
      <c r="S481" s="152"/>
      <c r="T481" s="152"/>
      <c r="U481" s="152"/>
      <c r="V481" s="149"/>
      <c r="W481" s="149"/>
      <c r="X481" s="151"/>
      <c r="Y481" s="150"/>
      <c r="Z481" s="149"/>
      <c r="AA481" s="148"/>
    </row>
    <row r="482" spans="9:27">
      <c r="I482" s="149"/>
      <c r="K482" s="149"/>
      <c r="L482" s="149"/>
      <c r="O482" s="153"/>
      <c r="P482" s="148"/>
      <c r="R482" s="149"/>
      <c r="S482" s="152"/>
      <c r="T482" s="152"/>
      <c r="U482" s="152"/>
      <c r="V482" s="149"/>
      <c r="W482" s="149"/>
      <c r="X482" s="151"/>
      <c r="Y482" s="150"/>
      <c r="Z482" s="149"/>
      <c r="AA482" s="148"/>
    </row>
    <row r="483" spans="9:27">
      <c r="I483" s="149"/>
      <c r="K483" s="149"/>
      <c r="L483" s="149"/>
      <c r="O483" s="153"/>
      <c r="P483" s="148"/>
      <c r="R483" s="149"/>
      <c r="S483" s="152"/>
      <c r="T483" s="152"/>
      <c r="U483" s="152"/>
      <c r="V483" s="149"/>
      <c r="W483" s="149"/>
      <c r="X483" s="151"/>
      <c r="Y483" s="150"/>
      <c r="Z483" s="149"/>
      <c r="AA483" s="148"/>
    </row>
    <row r="484" spans="9:27">
      <c r="I484" s="149"/>
      <c r="K484" s="149"/>
      <c r="L484" s="149"/>
      <c r="O484" s="153"/>
      <c r="P484" s="148"/>
      <c r="R484" s="149"/>
      <c r="S484" s="152"/>
      <c r="T484" s="152"/>
      <c r="U484" s="152"/>
      <c r="V484" s="149"/>
      <c r="W484" s="149"/>
      <c r="X484" s="151"/>
      <c r="Y484" s="150"/>
      <c r="Z484" s="149"/>
      <c r="AA484" s="148"/>
    </row>
    <row r="485" spans="9:27">
      <c r="I485" s="149"/>
      <c r="K485" s="149"/>
      <c r="L485" s="149"/>
      <c r="O485" s="153"/>
      <c r="P485" s="148"/>
      <c r="R485" s="149"/>
      <c r="S485" s="152"/>
      <c r="T485" s="152"/>
      <c r="U485" s="152"/>
      <c r="V485" s="149"/>
      <c r="W485" s="149"/>
      <c r="X485" s="151"/>
      <c r="Y485" s="150"/>
      <c r="Z485" s="149"/>
      <c r="AA485" s="148"/>
    </row>
    <row r="486" spans="9:27">
      <c r="I486" s="149"/>
      <c r="K486" s="149"/>
      <c r="L486" s="149"/>
      <c r="O486" s="153"/>
      <c r="P486" s="148"/>
      <c r="R486" s="149"/>
      <c r="S486" s="152"/>
      <c r="T486" s="152"/>
      <c r="U486" s="152"/>
      <c r="V486" s="149"/>
      <c r="W486" s="149"/>
      <c r="X486" s="151"/>
      <c r="Y486" s="150"/>
      <c r="Z486" s="149"/>
      <c r="AA486" s="148"/>
    </row>
    <row r="487" spans="9:27">
      <c r="I487" s="149"/>
      <c r="K487" s="149"/>
      <c r="L487" s="149"/>
      <c r="O487" s="153"/>
      <c r="P487" s="148"/>
      <c r="R487" s="149"/>
      <c r="S487" s="152"/>
      <c r="T487" s="152"/>
      <c r="U487" s="152"/>
      <c r="V487" s="149"/>
      <c r="W487" s="149"/>
      <c r="X487" s="151"/>
      <c r="Y487" s="150"/>
      <c r="Z487" s="149"/>
      <c r="AA487" s="148"/>
    </row>
    <row r="488" spans="9:27">
      <c r="I488" s="149"/>
      <c r="K488" s="149"/>
      <c r="L488" s="149"/>
      <c r="O488" s="153"/>
      <c r="P488" s="148"/>
      <c r="R488" s="149"/>
      <c r="S488" s="152"/>
      <c r="T488" s="152"/>
      <c r="U488" s="152"/>
      <c r="V488" s="149"/>
      <c r="W488" s="149"/>
      <c r="X488" s="151"/>
      <c r="Y488" s="150"/>
      <c r="Z488" s="149"/>
      <c r="AA488" s="148"/>
    </row>
    <row r="489" spans="9:27">
      <c r="I489" s="149"/>
      <c r="K489" s="149"/>
      <c r="L489" s="149"/>
      <c r="O489" s="153"/>
      <c r="P489" s="148"/>
      <c r="R489" s="149"/>
      <c r="S489" s="152"/>
      <c r="T489" s="152"/>
      <c r="U489" s="152"/>
      <c r="V489" s="149"/>
      <c r="W489" s="149"/>
      <c r="X489" s="151"/>
      <c r="Y489" s="150"/>
      <c r="Z489" s="149"/>
      <c r="AA489" s="148"/>
    </row>
    <row r="490" spans="9:27">
      <c r="I490" s="149"/>
      <c r="K490" s="149"/>
      <c r="L490" s="149"/>
      <c r="O490" s="153"/>
      <c r="P490" s="148"/>
      <c r="R490" s="149"/>
      <c r="S490" s="152"/>
      <c r="T490" s="152"/>
      <c r="U490" s="152"/>
      <c r="V490" s="149"/>
      <c r="W490" s="149"/>
      <c r="X490" s="151"/>
      <c r="Y490" s="150"/>
      <c r="Z490" s="149"/>
      <c r="AA490" s="148"/>
    </row>
    <row r="491" spans="9:27">
      <c r="I491" s="149"/>
      <c r="K491" s="149"/>
      <c r="L491" s="149"/>
      <c r="O491" s="153"/>
      <c r="P491" s="148"/>
      <c r="R491" s="149"/>
      <c r="S491" s="152"/>
      <c r="T491" s="152"/>
      <c r="U491" s="152"/>
      <c r="V491" s="149"/>
      <c r="W491" s="149"/>
      <c r="X491" s="151"/>
      <c r="Y491" s="150"/>
      <c r="Z491" s="149"/>
      <c r="AA491" s="148"/>
    </row>
    <row r="492" spans="9:27">
      <c r="I492" s="149"/>
      <c r="K492" s="149"/>
      <c r="L492" s="149"/>
      <c r="O492" s="153"/>
      <c r="P492" s="148"/>
      <c r="R492" s="149"/>
      <c r="S492" s="152"/>
      <c r="T492" s="152"/>
      <c r="U492" s="152"/>
      <c r="V492" s="149"/>
      <c r="W492" s="149"/>
      <c r="X492" s="151"/>
      <c r="Y492" s="150"/>
      <c r="Z492" s="149"/>
      <c r="AA492" s="148"/>
    </row>
    <row r="493" spans="9:27">
      <c r="I493" s="149"/>
      <c r="K493" s="149"/>
      <c r="L493" s="149"/>
      <c r="O493" s="153"/>
      <c r="P493" s="148"/>
      <c r="R493" s="149"/>
      <c r="S493" s="152"/>
      <c r="T493" s="152"/>
      <c r="U493" s="152"/>
      <c r="V493" s="149"/>
      <c r="W493" s="149"/>
      <c r="X493" s="151"/>
      <c r="Y493" s="150"/>
      <c r="Z493" s="149"/>
      <c r="AA493" s="148"/>
    </row>
    <row r="494" spans="9:27">
      <c r="I494" s="149"/>
      <c r="K494" s="149"/>
      <c r="L494" s="149"/>
      <c r="O494" s="153"/>
      <c r="P494" s="148"/>
      <c r="R494" s="149"/>
      <c r="S494" s="152"/>
      <c r="T494" s="152"/>
      <c r="U494" s="152"/>
      <c r="V494" s="149"/>
      <c r="W494" s="149"/>
      <c r="X494" s="151"/>
      <c r="Y494" s="150"/>
      <c r="Z494" s="149"/>
      <c r="AA494" s="148"/>
    </row>
    <row r="495" spans="9:27">
      <c r="I495" s="149"/>
      <c r="K495" s="149"/>
      <c r="L495" s="149"/>
      <c r="O495" s="153"/>
      <c r="P495" s="148"/>
      <c r="R495" s="149"/>
      <c r="S495" s="152"/>
      <c r="T495" s="152"/>
      <c r="U495" s="152"/>
      <c r="V495" s="149"/>
      <c r="W495" s="149"/>
      <c r="X495" s="151"/>
      <c r="Y495" s="150"/>
      <c r="Z495" s="149"/>
      <c r="AA495" s="148"/>
    </row>
    <row r="496" spans="9:27">
      <c r="I496" s="149"/>
      <c r="K496" s="149"/>
      <c r="L496" s="149"/>
      <c r="O496" s="153"/>
      <c r="P496" s="148"/>
      <c r="R496" s="149"/>
      <c r="S496" s="152"/>
      <c r="T496" s="152"/>
      <c r="U496" s="152"/>
      <c r="V496" s="149"/>
      <c r="W496" s="149"/>
      <c r="X496" s="151"/>
      <c r="Y496" s="150"/>
      <c r="Z496" s="149"/>
      <c r="AA496" s="148"/>
    </row>
    <row r="497" spans="9:27">
      <c r="I497" s="149"/>
      <c r="K497" s="149"/>
      <c r="L497" s="149"/>
      <c r="O497" s="153"/>
      <c r="P497" s="148"/>
      <c r="R497" s="149"/>
      <c r="S497" s="152"/>
      <c r="T497" s="152"/>
      <c r="U497" s="152"/>
      <c r="V497" s="149"/>
      <c r="W497" s="149"/>
      <c r="X497" s="151"/>
      <c r="Y497" s="150"/>
      <c r="Z497" s="149"/>
      <c r="AA497" s="148"/>
    </row>
    <row r="498" spans="9:27">
      <c r="I498" s="149"/>
      <c r="K498" s="149"/>
      <c r="L498" s="149"/>
      <c r="O498" s="153"/>
      <c r="P498" s="148"/>
      <c r="R498" s="149"/>
      <c r="S498" s="152"/>
      <c r="T498" s="152"/>
      <c r="U498" s="152"/>
      <c r="V498" s="149"/>
      <c r="W498" s="149"/>
      <c r="X498" s="151"/>
      <c r="Y498" s="150"/>
      <c r="Z498" s="149"/>
      <c r="AA498" s="148"/>
    </row>
    <row r="499" spans="9:27">
      <c r="I499" s="149"/>
      <c r="K499" s="149"/>
      <c r="L499" s="149"/>
      <c r="O499" s="153"/>
      <c r="P499" s="148"/>
      <c r="R499" s="149"/>
      <c r="S499" s="152"/>
      <c r="T499" s="152"/>
      <c r="U499" s="152"/>
      <c r="V499" s="149"/>
      <c r="W499" s="149"/>
      <c r="X499" s="151"/>
      <c r="Y499" s="150"/>
      <c r="Z499" s="149"/>
      <c r="AA499" s="148"/>
    </row>
    <row r="500" spans="9:27">
      <c r="I500" s="149"/>
      <c r="K500" s="149"/>
      <c r="L500" s="149"/>
      <c r="O500" s="153"/>
      <c r="P500" s="148"/>
      <c r="R500" s="149"/>
      <c r="S500" s="152"/>
      <c r="T500" s="152"/>
      <c r="U500" s="152"/>
      <c r="V500" s="149"/>
      <c r="W500" s="149"/>
      <c r="X500" s="151"/>
      <c r="Y500" s="150"/>
      <c r="Z500" s="149"/>
      <c r="AA500" s="148"/>
    </row>
  </sheetData>
  <mergeCells count="1">
    <mergeCell ref="E1:K2"/>
  </mergeCells>
  <conditionalFormatting sqref="H1:H5 M3:M6 O1:O6 J1:J6 D4:G4 J301:J55934 O301:O55934 M301:M55934 H301:H55934">
    <cfRule type="cellIs" dxfId="1" priority="2" stopIfTrue="1" operator="lessThan">
      <formula>0</formula>
    </cfRule>
  </conditionalFormatting>
  <conditionalFormatting sqref="L5">
    <cfRule type="cellIs" dxfId="0" priority="1" stopIfTrue="1" operator="lessThan">
      <formula>0</formula>
    </cfRule>
  </conditionalFormatting>
  <printOptions horizontalCentered="1"/>
  <pageMargins left="0.19685039370078741" right="0.19685039370078741" top="0.19685039370078741" bottom="0.19685039370078741" header="0.51181102362204722" footer="0.51181102362204722"/>
  <pageSetup paperSize="9" scale="70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"/>
  <sheetViews>
    <sheetView topLeftCell="A7" workbookViewId="0">
      <pane ySplit="1440"/>
      <selection activeCell="A7" sqref="A7:AK31"/>
      <selection pane="bottomLeft" activeCell="D11" sqref="D11"/>
    </sheetView>
  </sheetViews>
  <sheetFormatPr baseColWidth="10" defaultRowHeight="12.75"/>
  <cols>
    <col min="1" max="1" width="11.42578125" style="93"/>
    <col min="2" max="2" width="14.42578125" style="93" customWidth="1"/>
    <col min="3" max="3" width="27.140625" style="93" customWidth="1"/>
    <col min="4" max="4" width="28.5703125" style="93" customWidth="1"/>
    <col min="5" max="5" width="5.85546875" style="93" customWidth="1"/>
    <col min="6" max="6" width="4.7109375" style="93" customWidth="1"/>
    <col min="7" max="7" width="8.7109375" style="93" customWidth="1"/>
    <col min="8" max="8" width="13.42578125" style="93" customWidth="1"/>
    <col min="9" max="9" width="9.28515625" style="93" customWidth="1"/>
    <col min="10" max="10" width="8.5703125" style="93" customWidth="1"/>
    <col min="11" max="11" width="9.7109375" style="94" customWidth="1"/>
    <col min="12" max="12" width="8.85546875" style="94" customWidth="1"/>
    <col min="13" max="13" width="8.42578125" style="93" customWidth="1"/>
    <col min="14" max="14" width="10.28515625" style="93" customWidth="1"/>
    <col min="15" max="15" width="11.28515625" style="93" customWidth="1"/>
    <col min="16" max="17" width="11.42578125" style="93"/>
    <col min="18" max="18" width="9.7109375" style="93" customWidth="1"/>
    <col min="19" max="16384" width="11.42578125" style="93"/>
  </cols>
  <sheetData>
    <row r="1" spans="1:20" s="108" customFormat="1" ht="16.5" customHeight="1">
      <c r="A1" s="108" t="s">
        <v>75</v>
      </c>
      <c r="D1" s="110"/>
      <c r="E1" s="110"/>
      <c r="F1" s="110"/>
      <c r="G1" s="110"/>
      <c r="H1" s="110"/>
      <c r="K1" s="109"/>
      <c r="L1" s="109"/>
    </row>
    <row r="2" spans="1:20" s="108" customFormat="1" ht="16.5" customHeight="1">
      <c r="A2" s="108" t="s">
        <v>92</v>
      </c>
      <c r="D2" s="110"/>
      <c r="E2" s="110"/>
      <c r="F2" s="110"/>
      <c r="G2" s="110"/>
      <c r="H2" s="110"/>
      <c r="K2" s="109"/>
      <c r="L2" s="109"/>
    </row>
    <row r="3" spans="1:20" ht="13.5" thickBot="1">
      <c r="I3" s="107"/>
      <c r="J3" s="107" t="s">
        <v>151</v>
      </c>
      <c r="K3" s="93"/>
      <c r="L3" s="93"/>
    </row>
    <row r="4" spans="1:20" ht="18.75" customHeight="1">
      <c r="H4" s="106"/>
      <c r="I4" s="223" t="s">
        <v>83</v>
      </c>
      <c r="J4" s="224"/>
      <c r="K4" s="223" t="s">
        <v>81</v>
      </c>
      <c r="L4" s="224"/>
      <c r="M4" s="223" t="s">
        <v>79</v>
      </c>
      <c r="N4" s="224"/>
      <c r="O4" s="223" t="s">
        <v>76</v>
      </c>
      <c r="P4" s="225"/>
      <c r="Q4" s="224"/>
      <c r="R4" s="223" t="s">
        <v>100</v>
      </c>
      <c r="S4" s="225"/>
      <c r="T4" s="224"/>
    </row>
    <row r="5" spans="1:20" ht="30.75" thickBot="1">
      <c r="A5" s="105" t="s">
        <v>91</v>
      </c>
      <c r="B5" s="105" t="s">
        <v>25</v>
      </c>
      <c r="C5" s="105" t="s">
        <v>90</v>
      </c>
      <c r="D5" s="105" t="s">
        <v>89</v>
      </c>
      <c r="E5" s="105" t="s">
        <v>88</v>
      </c>
      <c r="F5" s="105" t="s">
        <v>87</v>
      </c>
      <c r="G5" s="104" t="s">
        <v>86</v>
      </c>
      <c r="H5" s="103" t="s">
        <v>85</v>
      </c>
      <c r="I5" s="101" t="s">
        <v>84</v>
      </c>
      <c r="J5" s="102" t="s">
        <v>83</v>
      </c>
      <c r="K5" s="101" t="s">
        <v>82</v>
      </c>
      <c r="L5" s="102" t="s">
        <v>81</v>
      </c>
      <c r="M5" s="101" t="s">
        <v>80</v>
      </c>
      <c r="N5" s="102" t="s">
        <v>79</v>
      </c>
      <c r="O5" s="101" t="s">
        <v>78</v>
      </c>
      <c r="P5" s="100" t="s">
        <v>77</v>
      </c>
      <c r="Q5" s="99" t="s">
        <v>76</v>
      </c>
      <c r="R5" s="101" t="s">
        <v>101</v>
      </c>
      <c r="S5" s="100" t="s">
        <v>102</v>
      </c>
      <c r="T5" s="99" t="s">
        <v>15</v>
      </c>
    </row>
    <row r="6" spans="1:20" s="97" customFormat="1" ht="1.5" customHeight="1">
      <c r="O6" s="98"/>
    </row>
    <row r="7" spans="1:20">
      <c r="J7" s="95"/>
      <c r="L7" s="96"/>
      <c r="N7" s="95"/>
      <c r="Q7" s="95"/>
      <c r="R7" s="129"/>
    </row>
    <row r="8" spans="1:20">
      <c r="J8" s="95"/>
      <c r="L8" s="96"/>
      <c r="N8" s="95"/>
      <c r="Q8" s="95"/>
      <c r="R8" s="129"/>
    </row>
    <row r="9" spans="1:20">
      <c r="J9" s="95"/>
      <c r="L9" s="96"/>
      <c r="N9" s="95"/>
      <c r="Q9" s="95"/>
      <c r="R9" s="129"/>
    </row>
    <row r="10" spans="1:20">
      <c r="J10" s="95"/>
      <c r="L10" s="96"/>
      <c r="N10" s="95"/>
      <c r="Q10" s="95"/>
      <c r="R10" s="129"/>
      <c r="T10" s="95"/>
    </row>
    <row r="11" spans="1:20">
      <c r="J11" s="95"/>
      <c r="L11" s="96"/>
      <c r="N11" s="95"/>
      <c r="Q11" s="95"/>
      <c r="R11" s="129"/>
      <c r="T11" s="95"/>
    </row>
    <row r="12" spans="1:20">
      <c r="J12" s="95"/>
      <c r="L12" s="96"/>
      <c r="N12" s="95"/>
      <c r="Q12" s="95"/>
      <c r="R12" s="129"/>
      <c r="T12" s="95"/>
    </row>
    <row r="13" spans="1:20">
      <c r="J13" s="95"/>
      <c r="L13" s="96"/>
      <c r="N13" s="95"/>
      <c r="Q13" s="95"/>
      <c r="R13" s="129"/>
      <c r="T13" s="95"/>
    </row>
    <row r="14" spans="1:20">
      <c r="J14" s="95"/>
      <c r="L14" s="96"/>
      <c r="N14" s="95"/>
      <c r="Q14" s="95"/>
      <c r="R14" s="129"/>
      <c r="T14" s="95"/>
    </row>
    <row r="15" spans="1:20">
      <c r="J15" s="95"/>
      <c r="L15" s="96"/>
      <c r="N15" s="95"/>
      <c r="Q15" s="95"/>
      <c r="R15" s="129"/>
      <c r="T15" s="95"/>
    </row>
    <row r="16" spans="1:20">
      <c r="J16" s="95"/>
      <c r="L16" s="96"/>
      <c r="N16" s="95"/>
      <c r="Q16" s="95"/>
      <c r="R16" s="129"/>
      <c r="T16" s="95"/>
    </row>
    <row r="17" spans="10:20">
      <c r="J17" s="95"/>
      <c r="L17" s="96"/>
      <c r="N17" s="95"/>
      <c r="Q17" s="95"/>
      <c r="R17" s="129"/>
      <c r="T17" s="95"/>
    </row>
    <row r="18" spans="10:20">
      <c r="J18" s="95"/>
      <c r="L18" s="96"/>
      <c r="N18" s="95"/>
      <c r="Q18" s="95"/>
      <c r="R18" s="129"/>
      <c r="T18" s="95"/>
    </row>
    <row r="19" spans="10:20">
      <c r="J19" s="95"/>
      <c r="L19" s="96"/>
      <c r="N19" s="95"/>
      <c r="Q19" s="95"/>
      <c r="R19" s="129"/>
      <c r="T19" s="95"/>
    </row>
    <row r="20" spans="10:20">
      <c r="J20" s="95"/>
      <c r="L20" s="96"/>
      <c r="N20" s="95"/>
      <c r="Q20" s="95"/>
      <c r="R20" s="129"/>
      <c r="T20" s="95"/>
    </row>
    <row r="21" spans="10:20">
      <c r="J21" s="95"/>
      <c r="L21" s="96"/>
      <c r="N21" s="95"/>
      <c r="Q21" s="95"/>
      <c r="R21" s="129"/>
      <c r="T21" s="95"/>
    </row>
    <row r="22" spans="10:20">
      <c r="J22" s="95"/>
      <c r="L22" s="96"/>
      <c r="N22" s="95"/>
      <c r="Q22" s="95"/>
      <c r="R22" s="129"/>
      <c r="T22" s="95"/>
    </row>
    <row r="23" spans="10:20">
      <c r="J23" s="95"/>
      <c r="L23" s="96"/>
      <c r="N23" s="95"/>
      <c r="Q23" s="95"/>
      <c r="R23" s="129"/>
      <c r="T23" s="95"/>
    </row>
    <row r="24" spans="10:20">
      <c r="J24" s="95"/>
      <c r="L24" s="131"/>
      <c r="N24" s="95"/>
      <c r="Q24" s="95"/>
      <c r="T24" s="95"/>
    </row>
    <row r="25" spans="10:20">
      <c r="J25" s="95"/>
      <c r="L25" s="131"/>
      <c r="N25" s="95"/>
      <c r="Q25" s="95"/>
      <c r="T25" s="95"/>
    </row>
    <row r="26" spans="10:20">
      <c r="J26" s="95"/>
      <c r="L26" s="131"/>
      <c r="N26" s="95"/>
      <c r="Q26" s="95"/>
      <c r="T26" s="95"/>
    </row>
    <row r="27" spans="10:20">
      <c r="J27" s="95"/>
      <c r="L27" s="131"/>
      <c r="N27" s="95"/>
      <c r="Q27" s="95"/>
      <c r="T27" s="95"/>
    </row>
    <row r="28" spans="10:20">
      <c r="J28" s="95"/>
      <c r="L28" s="131"/>
      <c r="N28" s="95"/>
      <c r="Q28" s="95"/>
      <c r="T28" s="95"/>
    </row>
    <row r="29" spans="10:20">
      <c r="J29" s="95"/>
      <c r="L29" s="131"/>
      <c r="N29" s="95"/>
      <c r="Q29" s="95"/>
      <c r="T29" s="95"/>
    </row>
    <row r="30" spans="10:20">
      <c r="Q30" s="95"/>
    </row>
    <row r="31" spans="10:20">
      <c r="Q31" s="95"/>
    </row>
  </sheetData>
  <mergeCells count="5">
    <mergeCell ref="I4:J4"/>
    <mergeCell ref="K4:L4"/>
    <mergeCell ref="M4:N4"/>
    <mergeCell ref="O4:Q4"/>
    <mergeCell ref="R4:T4"/>
  </mergeCells>
  <pageMargins left="0.31496062992125984" right="0.11811023622047245" top="0.15748031496062992" bottom="0.15748031496062992" header="0.31496062992125984" footer="0.31496062992125984"/>
  <pageSetup paperSize="9" scale="6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"/>
  <sheetViews>
    <sheetView zoomScale="75" workbookViewId="0">
      <pane xSplit="3" ySplit="7" topLeftCell="D8" activePane="bottomRight" state="frozenSplit"/>
      <selection activeCell="N158" sqref="N158"/>
      <selection pane="topRight" activeCell="N158" sqref="N158"/>
      <selection pane="bottomLeft" activeCell="N158" sqref="N158"/>
      <selection pane="bottomRight" activeCell="A8" sqref="A8:AD100"/>
    </sheetView>
  </sheetViews>
  <sheetFormatPr baseColWidth="10" defaultRowHeight="12.75"/>
  <cols>
    <col min="1" max="1" width="23.5703125" style="1" customWidth="1"/>
    <col min="2" max="2" width="25.7109375" style="1" customWidth="1"/>
    <col min="3" max="3" width="31.7109375" style="1" bestFit="1" customWidth="1"/>
    <col min="4" max="4" width="5.85546875" style="1" bestFit="1" customWidth="1"/>
    <col min="5" max="5" width="9.140625" style="1" customWidth="1"/>
    <col min="6" max="6" width="8" style="1" customWidth="1"/>
    <col min="7" max="7" width="7.7109375" style="1" customWidth="1"/>
    <col min="8" max="8" width="8.42578125" style="1" customWidth="1"/>
    <col min="9" max="9" width="9.85546875" style="1" customWidth="1"/>
    <col min="10" max="10" width="8.5703125" style="1" customWidth="1"/>
    <col min="11" max="11" width="8.28515625" style="1" customWidth="1"/>
    <col min="12" max="12" width="8" style="1" customWidth="1"/>
    <col min="13" max="13" width="8.5703125" style="1" customWidth="1"/>
    <col min="14" max="14" width="8.85546875" style="1" customWidth="1"/>
    <col min="15" max="15" width="7.28515625" style="1" customWidth="1"/>
    <col min="16" max="16" width="7.7109375" style="1" customWidth="1"/>
    <col min="17" max="17" width="8" style="1" customWidth="1"/>
    <col min="18" max="18" width="7.85546875" style="1" customWidth="1"/>
    <col min="19" max="19" width="8.28515625" style="1" customWidth="1"/>
    <col min="20" max="20" width="8.7109375" style="1" customWidth="1"/>
    <col min="21" max="21" width="7.85546875" style="1" customWidth="1"/>
    <col min="22" max="22" width="8" style="1" customWidth="1"/>
    <col min="23" max="23" width="7.85546875" style="1" customWidth="1"/>
    <col min="24" max="24" width="10" style="1" hidden="1" customWidth="1"/>
    <col min="25" max="16384" width="11.42578125" style="1"/>
  </cols>
  <sheetData>
    <row r="1" spans="1:24" s="3" customFormat="1">
      <c r="A1" s="5" t="s">
        <v>0</v>
      </c>
      <c r="B1" s="6"/>
      <c r="C1" s="2"/>
      <c r="D1" s="2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228">
        <f ca="1">+TODAY()</f>
        <v>46179</v>
      </c>
      <c r="T1" s="228"/>
      <c r="U1" s="228"/>
      <c r="V1" s="228"/>
      <c r="W1" s="228"/>
      <c r="X1" s="228"/>
    </row>
    <row r="2" spans="1:24" s="3" customFormat="1" ht="18.75">
      <c r="A2" s="8" t="s">
        <v>4</v>
      </c>
      <c r="B2" s="6"/>
      <c r="C2" s="2"/>
      <c r="D2" s="2"/>
      <c r="E2" s="7"/>
      <c r="F2" s="7"/>
      <c r="G2" s="7"/>
      <c r="H2" s="9" t="s">
        <v>116</v>
      </c>
      <c r="I2" s="7"/>
      <c r="J2" s="7"/>
      <c r="K2" s="7"/>
      <c r="L2" s="7"/>
      <c r="M2" s="7"/>
      <c r="N2" s="7"/>
      <c r="O2" s="7"/>
      <c r="P2" s="7"/>
      <c r="Q2" s="7"/>
      <c r="R2" s="7"/>
      <c r="S2" s="228"/>
      <c r="T2" s="228"/>
      <c r="U2" s="228"/>
      <c r="V2" s="228"/>
      <c r="W2" s="228"/>
      <c r="X2" s="228"/>
    </row>
    <row r="3" spans="1:24" s="3" customFormat="1" ht="14.25" customHeight="1">
      <c r="A3" s="10"/>
      <c r="B3" s="6"/>
      <c r="C3" s="2"/>
      <c r="D3" s="2"/>
      <c r="E3" s="7"/>
      <c r="F3" s="7"/>
      <c r="G3" s="11"/>
      <c r="H3" s="11"/>
      <c r="I3" s="7"/>
      <c r="J3" s="17" t="s">
        <v>215</v>
      </c>
      <c r="K3" s="17"/>
      <c r="L3" s="11"/>
      <c r="M3" s="11"/>
      <c r="N3" s="7"/>
      <c r="O3" s="7"/>
      <c r="P3" s="7"/>
      <c r="Q3" s="7"/>
      <c r="R3" s="12"/>
      <c r="S3" s="12"/>
      <c r="T3" s="7"/>
      <c r="U3" s="7"/>
      <c r="V3" s="7"/>
      <c r="W3" s="7"/>
    </row>
    <row r="4" spans="1:24" ht="13.5" thickBot="1">
      <c r="A4" s="13"/>
      <c r="B4" s="14"/>
      <c r="C4" s="4"/>
      <c r="D4" s="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4" s="19" customFormat="1" ht="15.75">
      <c r="A5" s="229"/>
      <c r="B5" s="229"/>
      <c r="C5" s="4"/>
      <c r="D5" s="4"/>
      <c r="E5" s="230" t="s">
        <v>5</v>
      </c>
      <c r="F5" s="231"/>
      <c r="G5" s="230" t="s">
        <v>6</v>
      </c>
      <c r="H5" s="232"/>
      <c r="I5" s="232"/>
      <c r="J5" s="232"/>
      <c r="K5" s="232"/>
      <c r="L5" s="233" t="s">
        <v>7</v>
      </c>
      <c r="M5" s="234"/>
      <c r="N5" s="234"/>
      <c r="O5" s="234"/>
      <c r="P5" s="230" t="s">
        <v>8</v>
      </c>
      <c r="Q5" s="232"/>
      <c r="R5" s="231"/>
      <c r="S5" s="21" t="s">
        <v>10</v>
      </c>
      <c r="T5" s="230" t="s">
        <v>9</v>
      </c>
      <c r="U5" s="232"/>
      <c r="V5" s="231"/>
      <c r="W5" s="21" t="s">
        <v>16</v>
      </c>
      <c r="X5" s="18"/>
    </row>
    <row r="6" spans="1:24" s="19" customFormat="1" ht="13.5" thickBot="1">
      <c r="A6" s="13"/>
      <c r="B6" s="14"/>
      <c r="C6" s="4"/>
      <c r="D6" s="4"/>
      <c r="E6" s="22">
        <v>20</v>
      </c>
      <c r="F6" s="23">
        <v>50</v>
      </c>
      <c r="G6" s="24" t="s">
        <v>11</v>
      </c>
      <c r="H6" s="24" t="s">
        <v>12</v>
      </c>
      <c r="I6" s="24" t="s">
        <v>13</v>
      </c>
      <c r="J6" s="24" t="s">
        <v>14</v>
      </c>
      <c r="K6" s="25" t="s">
        <v>17</v>
      </c>
      <c r="L6" s="26">
        <v>10.5</v>
      </c>
      <c r="M6" s="27">
        <v>21</v>
      </c>
      <c r="N6" s="27" t="s">
        <v>18</v>
      </c>
      <c r="O6" s="28" t="s">
        <v>19</v>
      </c>
      <c r="P6" s="22">
        <v>10.5</v>
      </c>
      <c r="Q6" s="27">
        <v>21</v>
      </c>
      <c r="R6" s="23" t="s">
        <v>18</v>
      </c>
      <c r="S6" s="23" t="s">
        <v>18</v>
      </c>
      <c r="T6" s="22">
        <v>10.5</v>
      </c>
      <c r="U6" s="28">
        <v>21</v>
      </c>
      <c r="V6" s="23">
        <v>170</v>
      </c>
      <c r="W6" s="226" t="s">
        <v>20</v>
      </c>
      <c r="X6" s="16" t="s">
        <v>3</v>
      </c>
    </row>
    <row r="7" spans="1:24" s="19" customFormat="1" ht="14.25" customHeight="1" thickBot="1">
      <c r="A7" s="38" t="s">
        <v>25</v>
      </c>
      <c r="B7" s="39" t="s">
        <v>1</v>
      </c>
      <c r="C7" s="39" t="s">
        <v>2</v>
      </c>
      <c r="D7" s="39" t="s">
        <v>26</v>
      </c>
      <c r="E7" s="29">
        <v>501101</v>
      </c>
      <c r="F7" s="30">
        <v>501102</v>
      </c>
      <c r="G7" s="31">
        <v>502102</v>
      </c>
      <c r="H7" s="31">
        <v>502103</v>
      </c>
      <c r="I7" s="31">
        <v>502118</v>
      </c>
      <c r="J7" s="31">
        <v>502119</v>
      </c>
      <c r="K7" s="32" t="s">
        <v>24</v>
      </c>
      <c r="L7" s="33">
        <v>503101</v>
      </c>
      <c r="M7" s="34">
        <v>503102</v>
      </c>
      <c r="N7" s="34" t="s">
        <v>21</v>
      </c>
      <c r="O7" s="35">
        <v>503133</v>
      </c>
      <c r="P7" s="29">
        <v>503201</v>
      </c>
      <c r="Q7" s="31">
        <v>503202</v>
      </c>
      <c r="R7" s="30" t="s">
        <v>22</v>
      </c>
      <c r="S7" s="36" t="s">
        <v>23</v>
      </c>
      <c r="T7" s="29">
        <v>503301</v>
      </c>
      <c r="U7" s="37">
        <v>503302</v>
      </c>
      <c r="V7" s="30">
        <v>503303</v>
      </c>
      <c r="W7" s="227"/>
      <c r="X7" s="20"/>
    </row>
    <row r="8" spans="1:24">
      <c r="A8" s="1" t="s">
        <v>50</v>
      </c>
      <c r="B8" s="1" t="s">
        <v>51</v>
      </c>
      <c r="C8" s="1" t="s">
        <v>56</v>
      </c>
      <c r="D8" s="1">
        <v>2025</v>
      </c>
      <c r="E8" s="1">
        <v>6800</v>
      </c>
      <c r="F8" s="1">
        <v>4396</v>
      </c>
      <c r="G8" s="1">
        <v>2394</v>
      </c>
      <c r="H8" s="1">
        <v>2205</v>
      </c>
      <c r="I8" s="1">
        <v>3162.5</v>
      </c>
      <c r="J8" s="1">
        <v>1008</v>
      </c>
      <c r="L8" s="1">
        <v>150817.5</v>
      </c>
      <c r="M8" s="1">
        <v>86482</v>
      </c>
      <c r="N8" s="1">
        <v>198306.671875</v>
      </c>
      <c r="P8" s="1">
        <v>18169.580078125</v>
      </c>
      <c r="Q8" s="1">
        <v>12504</v>
      </c>
      <c r="R8" s="1">
        <v>22717.5</v>
      </c>
      <c r="S8" s="1">
        <v>96928.5</v>
      </c>
      <c r="T8" s="1">
        <v>4032</v>
      </c>
      <c r="U8" s="1">
        <v>1290</v>
      </c>
      <c r="V8" s="1">
        <v>14845.0302734375</v>
      </c>
      <c r="W8" s="1">
        <v>1527.5299682617199</v>
      </c>
    </row>
    <row r="9" spans="1:24">
      <c r="A9" s="1" t="s">
        <v>50</v>
      </c>
      <c r="B9" s="1" t="s">
        <v>51</v>
      </c>
      <c r="C9" s="1" t="s">
        <v>56</v>
      </c>
      <c r="D9" s="1">
        <v>2026</v>
      </c>
      <c r="U9" s="205"/>
    </row>
    <row r="10" spans="1:24">
      <c r="A10" s="1" t="s">
        <v>50</v>
      </c>
      <c r="B10" s="1" t="s">
        <v>51</v>
      </c>
      <c r="C10" s="1" t="s">
        <v>56</v>
      </c>
      <c r="D10" s="1" t="s">
        <v>15</v>
      </c>
      <c r="E10" s="204">
        <v>-1</v>
      </c>
      <c r="F10" s="204">
        <v>-1</v>
      </c>
      <c r="G10" s="204">
        <v>-1</v>
      </c>
      <c r="H10" s="204">
        <v>-1</v>
      </c>
      <c r="I10" s="204">
        <v>-1</v>
      </c>
      <c r="J10" s="204">
        <v>-1</v>
      </c>
      <c r="K10" s="1" t="s">
        <v>161</v>
      </c>
      <c r="L10" s="204">
        <v>-1</v>
      </c>
      <c r="M10" s="204">
        <v>-1</v>
      </c>
      <c r="N10" s="204">
        <v>-1</v>
      </c>
      <c r="O10" s="1" t="s">
        <v>161</v>
      </c>
      <c r="P10" s="204">
        <v>-1</v>
      </c>
      <c r="Q10" s="204">
        <v>-1</v>
      </c>
      <c r="R10" s="204">
        <v>-1</v>
      </c>
      <c r="S10" s="204">
        <v>-1</v>
      </c>
      <c r="T10" s="204">
        <v>-1</v>
      </c>
      <c r="U10" s="204">
        <v>-1</v>
      </c>
      <c r="V10" s="204">
        <v>-1</v>
      </c>
      <c r="W10" s="204">
        <v>-1</v>
      </c>
    </row>
    <row r="11" spans="1:24">
      <c r="A11" s="1" t="s">
        <v>50</v>
      </c>
      <c r="B11" s="1" t="s">
        <v>52</v>
      </c>
      <c r="C11" s="1" t="s">
        <v>53</v>
      </c>
      <c r="D11" s="1">
        <v>2025</v>
      </c>
      <c r="L11" s="1">
        <v>16200</v>
      </c>
    </row>
    <row r="12" spans="1:24">
      <c r="A12" s="1" t="s">
        <v>50</v>
      </c>
      <c r="B12" s="1" t="s">
        <v>52</v>
      </c>
      <c r="C12" s="1" t="s">
        <v>53</v>
      </c>
      <c r="D12" s="1">
        <v>2026</v>
      </c>
    </row>
    <row r="13" spans="1:24">
      <c r="A13" s="1" t="s">
        <v>50</v>
      </c>
      <c r="B13" s="1" t="s">
        <v>52</v>
      </c>
      <c r="C13" s="1" t="s">
        <v>53</v>
      </c>
      <c r="D13" s="1" t="s">
        <v>15</v>
      </c>
      <c r="E13" s="204" t="s">
        <v>161</v>
      </c>
      <c r="F13" s="204" t="s">
        <v>161</v>
      </c>
      <c r="G13" s="204" t="s">
        <v>161</v>
      </c>
      <c r="H13" s="204" t="s">
        <v>161</v>
      </c>
      <c r="I13" s="204" t="s">
        <v>161</v>
      </c>
      <c r="J13" s="204" t="s">
        <v>161</v>
      </c>
      <c r="K13" s="1" t="s">
        <v>161</v>
      </c>
      <c r="L13" s="204">
        <v>-1</v>
      </c>
      <c r="M13" s="204" t="s">
        <v>161</v>
      </c>
      <c r="N13" s="204" t="s">
        <v>161</v>
      </c>
      <c r="O13" s="1" t="s">
        <v>161</v>
      </c>
      <c r="P13" s="204" t="s">
        <v>161</v>
      </c>
      <c r="Q13" s="204" t="s">
        <v>161</v>
      </c>
      <c r="R13" s="204" t="s">
        <v>161</v>
      </c>
      <c r="S13" s="204" t="s">
        <v>161</v>
      </c>
      <c r="T13" s="204" t="s">
        <v>161</v>
      </c>
      <c r="U13" s="204" t="s">
        <v>161</v>
      </c>
      <c r="V13" s="204" t="s">
        <v>161</v>
      </c>
      <c r="W13" s="1" t="s">
        <v>161</v>
      </c>
    </row>
    <row r="14" spans="1:24">
      <c r="A14" s="1" t="s">
        <v>50</v>
      </c>
      <c r="B14" s="1" t="s">
        <v>170</v>
      </c>
      <c r="C14" s="1" t="s">
        <v>54</v>
      </c>
      <c r="D14" s="1">
        <v>2025</v>
      </c>
      <c r="E14" s="1">
        <v>6625</v>
      </c>
      <c r="F14" s="1">
        <v>18326</v>
      </c>
      <c r="G14" s="1">
        <v>1710</v>
      </c>
      <c r="H14" s="1">
        <v>1575</v>
      </c>
      <c r="I14" s="1">
        <v>550</v>
      </c>
      <c r="L14" s="1">
        <v>80293.5</v>
      </c>
      <c r="M14" s="1">
        <v>64482</v>
      </c>
      <c r="N14" s="1">
        <v>74880</v>
      </c>
      <c r="P14" s="1">
        <v>5750</v>
      </c>
      <c r="Q14" s="1">
        <v>3213</v>
      </c>
      <c r="R14" s="1">
        <v>12122.5</v>
      </c>
      <c r="S14" s="1">
        <v>45875.5</v>
      </c>
      <c r="V14" s="1">
        <v>8342</v>
      </c>
    </row>
    <row r="15" spans="1:24">
      <c r="A15" s="1" t="s">
        <v>50</v>
      </c>
      <c r="B15" s="1" t="s">
        <v>170</v>
      </c>
      <c r="C15" s="1" t="s">
        <v>54</v>
      </c>
      <c r="D15" s="1">
        <v>2026</v>
      </c>
    </row>
    <row r="16" spans="1:24">
      <c r="A16" s="1" t="s">
        <v>50</v>
      </c>
      <c r="B16" s="1" t="s">
        <v>170</v>
      </c>
      <c r="C16" s="1" t="s">
        <v>54</v>
      </c>
      <c r="D16" s="1" t="s">
        <v>15</v>
      </c>
      <c r="E16" s="204">
        <v>-1</v>
      </c>
      <c r="F16" s="204">
        <v>-1</v>
      </c>
      <c r="G16" s="204">
        <v>-1</v>
      </c>
      <c r="H16" s="204">
        <v>-1</v>
      </c>
      <c r="I16" s="204">
        <v>-1</v>
      </c>
      <c r="J16" s="204" t="s">
        <v>161</v>
      </c>
      <c r="K16" s="1" t="s">
        <v>161</v>
      </c>
      <c r="L16" s="204">
        <v>-1</v>
      </c>
      <c r="M16" s="204">
        <v>-1</v>
      </c>
      <c r="N16" s="204">
        <v>-1</v>
      </c>
      <c r="O16" s="1" t="s">
        <v>161</v>
      </c>
      <c r="P16" s="204">
        <v>-1</v>
      </c>
      <c r="Q16" s="204">
        <v>-1</v>
      </c>
      <c r="R16" s="204">
        <v>-1</v>
      </c>
      <c r="S16" s="204">
        <v>-1</v>
      </c>
      <c r="T16" s="204" t="s">
        <v>161</v>
      </c>
      <c r="U16" s="204" t="s">
        <v>161</v>
      </c>
      <c r="V16" s="204">
        <v>-1</v>
      </c>
      <c r="W16" s="204" t="s">
        <v>161</v>
      </c>
    </row>
    <row r="17" spans="1:23">
      <c r="A17" s="1" t="s">
        <v>50</v>
      </c>
      <c r="B17" s="1" t="s">
        <v>173</v>
      </c>
      <c r="C17" s="1" t="s">
        <v>163</v>
      </c>
      <c r="D17" s="1">
        <v>2025</v>
      </c>
    </row>
    <row r="18" spans="1:23">
      <c r="A18" s="1" t="s">
        <v>50</v>
      </c>
      <c r="B18" s="1" t="s">
        <v>173</v>
      </c>
      <c r="C18" s="1" t="s">
        <v>115</v>
      </c>
      <c r="D18" s="1">
        <v>2026</v>
      </c>
    </row>
    <row r="19" spans="1:23">
      <c r="A19" s="1" t="s">
        <v>50</v>
      </c>
      <c r="B19" s="1" t="s">
        <v>173</v>
      </c>
      <c r="C19" s="1" t="s">
        <v>115</v>
      </c>
      <c r="D19" s="1" t="s">
        <v>15</v>
      </c>
      <c r="E19" s="204" t="s">
        <v>161</v>
      </c>
      <c r="F19" s="204" t="s">
        <v>161</v>
      </c>
      <c r="G19" s="204" t="s">
        <v>161</v>
      </c>
      <c r="H19" s="204" t="s">
        <v>161</v>
      </c>
      <c r="I19" s="204" t="s">
        <v>161</v>
      </c>
      <c r="J19" s="204" t="s">
        <v>161</v>
      </c>
      <c r="K19" s="1" t="s">
        <v>161</v>
      </c>
      <c r="L19" s="204" t="s">
        <v>161</v>
      </c>
      <c r="M19" s="204" t="s">
        <v>161</v>
      </c>
      <c r="N19" s="204" t="s">
        <v>161</v>
      </c>
      <c r="O19" s="1" t="s">
        <v>161</v>
      </c>
      <c r="P19" s="204" t="s">
        <v>161</v>
      </c>
      <c r="Q19" s="204" t="s">
        <v>161</v>
      </c>
      <c r="R19" s="204" t="s">
        <v>161</v>
      </c>
      <c r="S19" s="204" t="s">
        <v>161</v>
      </c>
      <c r="T19" s="204" t="s">
        <v>161</v>
      </c>
      <c r="U19" s="204" t="s">
        <v>161</v>
      </c>
      <c r="V19" s="204" t="s">
        <v>161</v>
      </c>
      <c r="W19" s="204" t="s">
        <v>161</v>
      </c>
    </row>
    <row r="20" spans="1:23">
      <c r="A20" s="1" t="s">
        <v>50</v>
      </c>
      <c r="B20" s="1" t="s">
        <v>171</v>
      </c>
      <c r="C20" s="1" t="s">
        <v>163</v>
      </c>
      <c r="D20" s="1">
        <v>2025</v>
      </c>
    </row>
    <row r="21" spans="1:23">
      <c r="A21" s="1" t="s">
        <v>50</v>
      </c>
      <c r="B21" s="1" t="s">
        <v>171</v>
      </c>
      <c r="C21" s="1" t="s">
        <v>172</v>
      </c>
      <c r="D21" s="1">
        <v>2026</v>
      </c>
    </row>
    <row r="22" spans="1:23">
      <c r="A22" s="1" t="s">
        <v>50</v>
      </c>
      <c r="B22" s="1" t="s">
        <v>171</v>
      </c>
      <c r="C22" s="1" t="s">
        <v>172</v>
      </c>
      <c r="D22" s="1" t="s">
        <v>15</v>
      </c>
      <c r="E22" s="204" t="s">
        <v>161</v>
      </c>
      <c r="F22" s="204" t="s">
        <v>161</v>
      </c>
      <c r="G22" s="204" t="s">
        <v>161</v>
      </c>
      <c r="H22" s="204" t="s">
        <v>161</v>
      </c>
      <c r="I22" s="204" t="s">
        <v>161</v>
      </c>
      <c r="J22" s="204" t="s">
        <v>161</v>
      </c>
      <c r="K22" s="1" t="s">
        <v>161</v>
      </c>
      <c r="L22" s="204" t="s">
        <v>161</v>
      </c>
      <c r="M22" s="204" t="s">
        <v>161</v>
      </c>
      <c r="N22" s="204" t="s">
        <v>161</v>
      </c>
      <c r="O22" s="1" t="s">
        <v>161</v>
      </c>
      <c r="P22" s="204" t="s">
        <v>161</v>
      </c>
      <c r="Q22" s="204" t="s">
        <v>161</v>
      </c>
      <c r="R22" s="204" t="s">
        <v>161</v>
      </c>
      <c r="S22" s="204" t="s">
        <v>161</v>
      </c>
      <c r="T22" s="204" t="s">
        <v>161</v>
      </c>
      <c r="U22" s="204" t="s">
        <v>161</v>
      </c>
      <c r="V22" s="204" t="s">
        <v>161</v>
      </c>
      <c r="W22" s="204" t="s">
        <v>161</v>
      </c>
    </row>
    <row r="23" spans="1:23">
      <c r="A23" s="1" t="s">
        <v>50</v>
      </c>
      <c r="B23" s="1" t="s">
        <v>192</v>
      </c>
      <c r="C23" s="1" t="s">
        <v>163</v>
      </c>
      <c r="D23" s="1">
        <v>2025</v>
      </c>
    </row>
    <row r="24" spans="1:23">
      <c r="A24" s="1" t="s">
        <v>50</v>
      </c>
      <c r="B24" s="1" t="s">
        <v>192</v>
      </c>
      <c r="C24" s="1" t="s">
        <v>193</v>
      </c>
      <c r="D24" s="1">
        <v>2026</v>
      </c>
      <c r="E24" s="1">
        <v>49.740001678466797</v>
      </c>
      <c r="F24" s="1">
        <v>504.42001342773398</v>
      </c>
      <c r="G24" s="1">
        <v>252.16000366210901</v>
      </c>
      <c r="H24" s="1">
        <v>115.15000152587901</v>
      </c>
      <c r="I24" s="1">
        <v>430.02000427246099</v>
      </c>
      <c r="J24" s="1">
        <v>133.77000427246099</v>
      </c>
      <c r="L24" s="1">
        <v>825.98001098632801</v>
      </c>
      <c r="M24" s="1">
        <v>819.55999755859398</v>
      </c>
      <c r="N24" s="1">
        <v>1271.6599731445301</v>
      </c>
      <c r="P24" s="1">
        <v>612.55999755859398</v>
      </c>
      <c r="Q24" s="205">
        <v>432.56001281738298</v>
      </c>
      <c r="R24" s="205">
        <v>335.79998779296898</v>
      </c>
      <c r="S24" s="1">
        <v>523.63000488281295</v>
      </c>
      <c r="T24" s="1">
        <v>116.81999969482401</v>
      </c>
      <c r="U24" s="205">
        <v>89.150001525878906</v>
      </c>
      <c r="V24" s="1">
        <v>237.11000061035199</v>
      </c>
      <c r="W24" s="1">
        <v>901.87001037597702</v>
      </c>
    </row>
    <row r="25" spans="1:23">
      <c r="A25" s="1" t="s">
        <v>50</v>
      </c>
      <c r="B25" s="1" t="s">
        <v>192</v>
      </c>
      <c r="C25" s="1" t="s">
        <v>193</v>
      </c>
      <c r="D25" s="1" t="s">
        <v>15</v>
      </c>
      <c r="E25" s="204" t="s">
        <v>161</v>
      </c>
      <c r="F25" s="204" t="s">
        <v>161</v>
      </c>
      <c r="G25" s="204" t="s">
        <v>161</v>
      </c>
      <c r="H25" s="204" t="s">
        <v>161</v>
      </c>
      <c r="I25" s="204" t="s">
        <v>161</v>
      </c>
      <c r="J25" s="204" t="s">
        <v>161</v>
      </c>
      <c r="K25" s="1" t="s">
        <v>161</v>
      </c>
      <c r="L25" s="204" t="s">
        <v>161</v>
      </c>
      <c r="M25" s="204" t="s">
        <v>161</v>
      </c>
      <c r="N25" s="204" t="s">
        <v>161</v>
      </c>
      <c r="O25" s="1" t="s">
        <v>161</v>
      </c>
      <c r="P25" s="204" t="s">
        <v>161</v>
      </c>
      <c r="Q25" s="204" t="s">
        <v>161</v>
      </c>
      <c r="R25" s="204" t="s">
        <v>161</v>
      </c>
      <c r="S25" s="204" t="s">
        <v>161</v>
      </c>
      <c r="T25" s="204" t="s">
        <v>161</v>
      </c>
      <c r="U25" s="204" t="s">
        <v>161</v>
      </c>
      <c r="V25" s="204" t="s">
        <v>161</v>
      </c>
      <c r="W25" s="204" t="s">
        <v>161</v>
      </c>
    </row>
    <row r="26" spans="1:23">
      <c r="A26" s="1" t="s">
        <v>50</v>
      </c>
      <c r="B26" s="1" t="s">
        <v>120</v>
      </c>
      <c r="C26" s="1" t="s">
        <v>120</v>
      </c>
      <c r="D26" s="1">
        <v>2025</v>
      </c>
      <c r="E26" s="1">
        <v>7.8800001144409197</v>
      </c>
      <c r="F26" s="1">
        <v>336</v>
      </c>
      <c r="G26" s="1">
        <v>6.9699997901916504</v>
      </c>
      <c r="H26" s="1">
        <v>42064.160003662102</v>
      </c>
      <c r="I26" s="1">
        <v>56.349998474121101</v>
      </c>
      <c r="J26" s="1">
        <v>44.099998474121101</v>
      </c>
      <c r="L26" s="1">
        <v>9.9799995422363299</v>
      </c>
      <c r="M26" s="1">
        <v>16824.190000534101</v>
      </c>
      <c r="N26" s="1">
        <v>39.669998168945298</v>
      </c>
      <c r="Q26" s="1">
        <v>990</v>
      </c>
      <c r="S26" s="1">
        <v>63</v>
      </c>
      <c r="V26" s="1">
        <v>3440</v>
      </c>
      <c r="W26" s="1">
        <v>826.58001708984398</v>
      </c>
    </row>
    <row r="27" spans="1:23">
      <c r="A27" s="1" t="s">
        <v>50</v>
      </c>
      <c r="B27" s="1" t="s">
        <v>120</v>
      </c>
      <c r="C27" s="1" t="s">
        <v>120</v>
      </c>
      <c r="D27" s="1">
        <v>2026</v>
      </c>
      <c r="E27" s="1">
        <v>1.03999996185303</v>
      </c>
    </row>
    <row r="28" spans="1:23">
      <c r="A28" s="1" t="s">
        <v>50</v>
      </c>
      <c r="B28" s="1" t="s">
        <v>120</v>
      </c>
      <c r="C28" s="1" t="s">
        <v>120</v>
      </c>
      <c r="D28" s="1" t="s">
        <v>15</v>
      </c>
      <c r="E28" s="204">
        <v>-0.87</v>
      </c>
      <c r="F28" s="204">
        <v>-1</v>
      </c>
      <c r="G28" s="204">
        <v>-1</v>
      </c>
      <c r="H28" s="204">
        <v>-1</v>
      </c>
      <c r="I28" s="204">
        <v>-1</v>
      </c>
      <c r="J28" s="204">
        <v>-1</v>
      </c>
      <c r="K28" s="1" t="s">
        <v>161</v>
      </c>
      <c r="L28" s="204">
        <v>-1</v>
      </c>
      <c r="M28" s="204">
        <v>-1</v>
      </c>
      <c r="N28" s="204">
        <v>-1</v>
      </c>
      <c r="O28" s="1" t="s">
        <v>161</v>
      </c>
      <c r="P28" s="204" t="s">
        <v>161</v>
      </c>
      <c r="Q28" s="204">
        <v>-1</v>
      </c>
      <c r="R28" s="204" t="s">
        <v>161</v>
      </c>
      <c r="S28" s="204">
        <v>-1</v>
      </c>
      <c r="T28" s="204" t="s">
        <v>161</v>
      </c>
      <c r="U28" s="204" t="s">
        <v>161</v>
      </c>
      <c r="V28" s="204">
        <v>-1</v>
      </c>
      <c r="W28" s="204">
        <v>-1</v>
      </c>
    </row>
    <row r="29" spans="1:23">
      <c r="A29" s="1" t="s">
        <v>50</v>
      </c>
      <c r="B29" s="1" t="s">
        <v>107</v>
      </c>
      <c r="C29" s="1" t="s">
        <v>153</v>
      </c>
      <c r="D29" s="1">
        <v>2025</v>
      </c>
      <c r="E29" s="1">
        <v>101.51999664306599</v>
      </c>
      <c r="F29" s="1">
        <v>113.459999084473</v>
      </c>
      <c r="H29" s="1">
        <v>110</v>
      </c>
      <c r="I29" s="1">
        <v>145</v>
      </c>
      <c r="J29" s="1">
        <v>132.5</v>
      </c>
      <c r="L29" s="1">
        <v>399</v>
      </c>
      <c r="M29" s="1">
        <v>185</v>
      </c>
      <c r="N29" s="1">
        <v>136</v>
      </c>
      <c r="P29" s="1">
        <v>104</v>
      </c>
      <c r="R29" s="1">
        <v>-102.379997253418</v>
      </c>
      <c r="S29" s="1">
        <v>150</v>
      </c>
    </row>
    <row r="30" spans="1:23">
      <c r="A30" s="1" t="s">
        <v>50</v>
      </c>
      <c r="B30" s="1" t="s">
        <v>107</v>
      </c>
      <c r="C30" s="1" t="s">
        <v>153</v>
      </c>
      <c r="D30" s="1">
        <v>2026</v>
      </c>
    </row>
    <row r="31" spans="1:23">
      <c r="A31" s="1" t="s">
        <v>50</v>
      </c>
      <c r="B31" s="1" t="s">
        <v>107</v>
      </c>
      <c r="C31" s="1" t="s">
        <v>153</v>
      </c>
      <c r="D31" s="1" t="s">
        <v>15</v>
      </c>
      <c r="E31" s="204">
        <v>-1</v>
      </c>
      <c r="F31" s="204">
        <v>-1</v>
      </c>
      <c r="G31" s="204" t="s">
        <v>161</v>
      </c>
      <c r="H31" s="204">
        <v>-1</v>
      </c>
      <c r="I31" s="204">
        <v>-1</v>
      </c>
      <c r="J31" s="204">
        <v>-1</v>
      </c>
      <c r="K31" s="1" t="s">
        <v>161</v>
      </c>
      <c r="L31" s="204">
        <v>-1</v>
      </c>
      <c r="M31" s="204">
        <v>-1</v>
      </c>
      <c r="N31" s="204">
        <v>-1</v>
      </c>
      <c r="O31" s="1" t="s">
        <v>161</v>
      </c>
      <c r="P31" s="204">
        <v>-1</v>
      </c>
      <c r="Q31" s="204" t="s">
        <v>161</v>
      </c>
      <c r="R31" s="204">
        <v>-1</v>
      </c>
      <c r="S31" s="204">
        <v>-1</v>
      </c>
      <c r="T31" s="204" t="s">
        <v>161</v>
      </c>
      <c r="U31" s="204" t="s">
        <v>161</v>
      </c>
      <c r="V31" s="204" t="s">
        <v>161</v>
      </c>
      <c r="W31" s="204" t="s">
        <v>161</v>
      </c>
    </row>
    <row r="32" spans="1:23">
      <c r="A32" s="1" t="s">
        <v>50</v>
      </c>
      <c r="B32" s="1" t="s">
        <v>108</v>
      </c>
      <c r="C32" s="1" t="s">
        <v>142</v>
      </c>
      <c r="D32" s="1">
        <v>2025</v>
      </c>
      <c r="E32" s="1">
        <v>736.02001953125</v>
      </c>
      <c r="F32" s="1">
        <v>1180.34997558594</v>
      </c>
      <c r="G32" s="1">
        <v>4043.080078125</v>
      </c>
      <c r="H32" s="1">
        <v>1540</v>
      </c>
      <c r="I32" s="1">
        <v>4917.919921875</v>
      </c>
      <c r="J32" s="1">
        <v>1722.5</v>
      </c>
      <c r="L32" s="1">
        <v>4493.5</v>
      </c>
      <c r="M32" s="1">
        <v>1595.67004394531</v>
      </c>
      <c r="N32" s="1">
        <v>6279.9799194335901</v>
      </c>
      <c r="P32" s="1">
        <v>645.66998291015602</v>
      </c>
      <c r="Q32" s="1">
        <v>498.63000488281301</v>
      </c>
      <c r="R32" s="1">
        <v>671.15997314453102</v>
      </c>
      <c r="S32" s="1">
        <v>2784</v>
      </c>
      <c r="T32" s="1">
        <v>118</v>
      </c>
      <c r="U32" s="1">
        <v>165.89999389648401</v>
      </c>
      <c r="V32" s="205">
        <v>520.33001708984398</v>
      </c>
      <c r="W32" s="1">
        <v>1415.9500122070301</v>
      </c>
    </row>
    <row r="33" spans="1:23">
      <c r="A33" s="1" t="s">
        <v>50</v>
      </c>
      <c r="B33" s="1" t="s">
        <v>108</v>
      </c>
      <c r="C33" s="1" t="s">
        <v>142</v>
      </c>
      <c r="D33" s="1">
        <v>2026</v>
      </c>
      <c r="E33" s="1">
        <v>227.28999328613301</v>
      </c>
      <c r="F33" s="1">
        <v>510.57000732421898</v>
      </c>
      <c r="G33" s="1">
        <v>640</v>
      </c>
      <c r="H33" s="1">
        <v>117.5</v>
      </c>
      <c r="I33" s="1">
        <v>1043</v>
      </c>
      <c r="J33" s="1">
        <v>546</v>
      </c>
      <c r="L33" s="1">
        <v>1824</v>
      </c>
      <c r="M33" s="1">
        <v>185</v>
      </c>
      <c r="N33" s="1">
        <v>1484.61999511719</v>
      </c>
      <c r="P33" s="1">
        <v>151.669998168945</v>
      </c>
      <c r="Q33" s="1">
        <v>-36.669998168945298</v>
      </c>
      <c r="R33" s="205">
        <v>11.3699998855591</v>
      </c>
      <c r="S33" s="1">
        <v>530</v>
      </c>
      <c r="V33" s="1">
        <v>120.669998168945</v>
      </c>
      <c r="W33" s="1">
        <v>230.16000366210901</v>
      </c>
    </row>
    <row r="34" spans="1:23">
      <c r="A34" s="1" t="s">
        <v>50</v>
      </c>
      <c r="B34" s="1" t="s">
        <v>108</v>
      </c>
      <c r="C34" s="1" t="s">
        <v>142</v>
      </c>
      <c r="D34" s="1" t="s">
        <v>15</v>
      </c>
      <c r="E34" s="204">
        <v>-0.69</v>
      </c>
      <c r="F34" s="204">
        <v>-0.56999999999999995</v>
      </c>
      <c r="G34" s="204">
        <v>-0.84</v>
      </c>
      <c r="H34" s="204">
        <v>-0.92</v>
      </c>
      <c r="I34" s="204">
        <v>-0.79</v>
      </c>
      <c r="J34" s="204">
        <v>-0.68</v>
      </c>
      <c r="K34" s="1" t="s">
        <v>161</v>
      </c>
      <c r="L34" s="204">
        <v>-0.59</v>
      </c>
      <c r="M34" s="204">
        <v>-0.88</v>
      </c>
      <c r="N34" s="204">
        <v>-0.76</v>
      </c>
      <c r="O34" s="1" t="s">
        <v>161</v>
      </c>
      <c r="P34" s="204">
        <v>-0.77</v>
      </c>
      <c r="Q34" s="204">
        <v>-1.07</v>
      </c>
      <c r="R34" s="204">
        <v>-0.98</v>
      </c>
      <c r="S34" s="204">
        <v>-0.81</v>
      </c>
      <c r="T34" s="204">
        <v>-1</v>
      </c>
      <c r="U34" s="204">
        <v>-1</v>
      </c>
      <c r="V34" s="204">
        <v>-0.77</v>
      </c>
      <c r="W34" s="204">
        <v>-0.84</v>
      </c>
    </row>
    <row r="35" spans="1:23">
      <c r="A35" s="1" t="s">
        <v>50</v>
      </c>
      <c r="B35" s="1" t="s">
        <v>109</v>
      </c>
      <c r="C35" s="1" t="s">
        <v>114</v>
      </c>
      <c r="D35" s="1">
        <v>2025</v>
      </c>
    </row>
    <row r="36" spans="1:23">
      <c r="A36" s="1" t="s">
        <v>50</v>
      </c>
      <c r="B36" s="1" t="s">
        <v>109</v>
      </c>
      <c r="C36" s="1" t="s">
        <v>114</v>
      </c>
      <c r="D36" s="1">
        <v>2026</v>
      </c>
      <c r="E36" s="1">
        <v>201.91000366210901</v>
      </c>
      <c r="F36" s="1">
        <v>794.219970703125</v>
      </c>
      <c r="G36" s="1">
        <v>618.66998291015602</v>
      </c>
      <c r="H36" s="1">
        <v>352.5</v>
      </c>
      <c r="I36" s="1">
        <v>1490</v>
      </c>
      <c r="J36" s="1">
        <v>273</v>
      </c>
      <c r="L36" s="1">
        <v>1871.5</v>
      </c>
      <c r="M36" s="1">
        <v>1341.25</v>
      </c>
      <c r="N36" s="1">
        <v>3128</v>
      </c>
      <c r="P36" s="1">
        <v>1178.67004394531</v>
      </c>
      <c r="Q36" s="205">
        <v>872.66998291015602</v>
      </c>
      <c r="R36" s="1">
        <v>386.75</v>
      </c>
      <c r="S36" s="1">
        <v>240</v>
      </c>
      <c r="T36" s="1">
        <v>118</v>
      </c>
      <c r="V36" s="1">
        <v>135.75</v>
      </c>
      <c r="W36" s="1">
        <v>2447.3700561523401</v>
      </c>
    </row>
    <row r="37" spans="1:23">
      <c r="A37" s="1" t="s">
        <v>50</v>
      </c>
      <c r="B37" s="1" t="s">
        <v>109</v>
      </c>
      <c r="C37" s="1" t="s">
        <v>114</v>
      </c>
      <c r="D37" s="1" t="s">
        <v>15</v>
      </c>
      <c r="E37" s="204" t="s">
        <v>161</v>
      </c>
      <c r="F37" s="204" t="s">
        <v>161</v>
      </c>
      <c r="G37" s="204" t="s">
        <v>161</v>
      </c>
      <c r="H37" s="204" t="s">
        <v>161</v>
      </c>
      <c r="I37" s="204" t="s">
        <v>161</v>
      </c>
      <c r="J37" s="204" t="s">
        <v>161</v>
      </c>
      <c r="K37" s="1" t="s">
        <v>161</v>
      </c>
      <c r="L37" s="204" t="s">
        <v>161</v>
      </c>
      <c r="M37" s="204" t="s">
        <v>161</v>
      </c>
      <c r="N37" s="204" t="s">
        <v>161</v>
      </c>
      <c r="O37" s="1" t="s">
        <v>161</v>
      </c>
      <c r="P37" s="204" t="s">
        <v>161</v>
      </c>
      <c r="Q37" s="204" t="s">
        <v>161</v>
      </c>
      <c r="R37" s="204" t="s">
        <v>161</v>
      </c>
      <c r="S37" s="204" t="s">
        <v>161</v>
      </c>
      <c r="T37" s="204" t="s">
        <v>161</v>
      </c>
      <c r="U37" s="204" t="s">
        <v>161</v>
      </c>
      <c r="V37" s="204" t="s">
        <v>161</v>
      </c>
      <c r="W37" s="204" t="s">
        <v>161</v>
      </c>
    </row>
    <row r="38" spans="1:23">
      <c r="A38" s="1" t="s">
        <v>50</v>
      </c>
      <c r="B38" s="1" t="s">
        <v>110</v>
      </c>
      <c r="C38" s="1" t="s">
        <v>158</v>
      </c>
      <c r="D38" s="1">
        <v>2025</v>
      </c>
      <c r="E38" s="1">
        <v>1645.19995117188</v>
      </c>
      <c r="F38" s="1">
        <v>2323.38989257813</v>
      </c>
      <c r="G38" s="1">
        <v>3694.5400390625</v>
      </c>
      <c r="H38" s="1">
        <v>4290</v>
      </c>
      <c r="I38" s="1">
        <v>5075</v>
      </c>
      <c r="J38" s="1">
        <v>3180</v>
      </c>
      <c r="L38" s="1">
        <v>9566.5</v>
      </c>
      <c r="M38" s="1">
        <v>4902.5400390625</v>
      </c>
      <c r="N38" s="1">
        <v>11555.740234375</v>
      </c>
      <c r="P38" s="1">
        <v>2283.669921875</v>
      </c>
      <c r="Q38" s="1">
        <v>1004.66998291016</v>
      </c>
      <c r="R38" s="1">
        <v>1842.75</v>
      </c>
      <c r="S38" s="1">
        <v>5165.5</v>
      </c>
      <c r="T38" s="1">
        <v>526.08001708984398</v>
      </c>
      <c r="U38" s="1">
        <v>45.25</v>
      </c>
      <c r="V38" s="1">
        <v>1282.08996582031</v>
      </c>
      <c r="W38" s="1">
        <v>6861.8898925781295</v>
      </c>
    </row>
    <row r="39" spans="1:23">
      <c r="A39" s="1" t="s">
        <v>50</v>
      </c>
      <c r="B39" s="1" t="s">
        <v>110</v>
      </c>
      <c r="C39" s="1" t="s">
        <v>158</v>
      </c>
      <c r="D39" s="1">
        <v>2026</v>
      </c>
      <c r="R39" s="205"/>
    </row>
    <row r="40" spans="1:23">
      <c r="A40" s="1" t="s">
        <v>50</v>
      </c>
      <c r="B40" s="1" t="s">
        <v>110</v>
      </c>
      <c r="C40" s="1" t="s">
        <v>158</v>
      </c>
      <c r="D40" s="1" t="s">
        <v>15</v>
      </c>
      <c r="E40" s="204">
        <v>-1</v>
      </c>
      <c r="F40" s="204">
        <v>-1</v>
      </c>
      <c r="G40" s="204">
        <v>-1</v>
      </c>
      <c r="H40" s="204">
        <v>-1</v>
      </c>
      <c r="I40" s="204">
        <v>-1</v>
      </c>
      <c r="J40" s="204">
        <v>-1</v>
      </c>
      <c r="K40" s="1" t="s">
        <v>161</v>
      </c>
      <c r="L40" s="204">
        <v>-1</v>
      </c>
      <c r="M40" s="204">
        <v>-1</v>
      </c>
      <c r="N40" s="204">
        <v>-1</v>
      </c>
      <c r="O40" s="1" t="s">
        <v>161</v>
      </c>
      <c r="P40" s="204">
        <v>-1</v>
      </c>
      <c r="Q40" s="204">
        <v>-1</v>
      </c>
      <c r="R40" s="204">
        <v>-1</v>
      </c>
      <c r="S40" s="204">
        <v>-1</v>
      </c>
      <c r="T40" s="204">
        <v>-1</v>
      </c>
      <c r="U40" s="204">
        <v>-1</v>
      </c>
      <c r="V40" s="204">
        <v>-1</v>
      </c>
      <c r="W40" s="204">
        <v>-1</v>
      </c>
    </row>
    <row r="41" spans="1:23">
      <c r="A41" s="1" t="s">
        <v>50</v>
      </c>
      <c r="B41" s="1" t="s">
        <v>136</v>
      </c>
      <c r="C41" s="1" t="s">
        <v>131</v>
      </c>
      <c r="D41" s="1">
        <v>2025</v>
      </c>
      <c r="E41" s="1">
        <v>228.419998168945</v>
      </c>
      <c r="F41" s="1">
        <v>737.489990234375</v>
      </c>
      <c r="G41" s="1">
        <v>2390</v>
      </c>
      <c r="H41" s="1">
        <v>2750</v>
      </c>
      <c r="I41" s="1">
        <v>3480</v>
      </c>
      <c r="J41" s="1">
        <v>1987.5</v>
      </c>
      <c r="L41" s="1">
        <v>3762</v>
      </c>
      <c r="M41" s="1">
        <v>2574.65991210938</v>
      </c>
      <c r="N41" s="1">
        <v>9134.5302734375</v>
      </c>
      <c r="P41" s="1">
        <v>1048.67004394531</v>
      </c>
      <c r="Q41" s="1">
        <v>264</v>
      </c>
      <c r="R41" s="1">
        <v>614.260009765625</v>
      </c>
      <c r="S41" s="1">
        <v>3790</v>
      </c>
      <c r="T41" s="1">
        <v>290.07998657226602</v>
      </c>
      <c r="V41" s="1">
        <v>633.47998046875</v>
      </c>
      <c r="W41" s="1">
        <v>2184.4600219726599</v>
      </c>
    </row>
    <row r="42" spans="1:23">
      <c r="A42" s="1" t="s">
        <v>50</v>
      </c>
      <c r="B42" s="1" t="s">
        <v>136</v>
      </c>
      <c r="C42" s="1" t="s">
        <v>131</v>
      </c>
      <c r="D42" s="1">
        <v>2026</v>
      </c>
      <c r="E42" s="1">
        <v>203.03999328613301</v>
      </c>
      <c r="F42" s="1">
        <v>340.38000488281301</v>
      </c>
      <c r="G42" s="1">
        <v>384</v>
      </c>
      <c r="H42" s="1">
        <v>235</v>
      </c>
      <c r="I42" s="1">
        <v>298</v>
      </c>
      <c r="J42" s="1">
        <v>1365</v>
      </c>
      <c r="L42" s="1">
        <v>1330</v>
      </c>
      <c r="M42" s="1">
        <v>925</v>
      </c>
      <c r="N42" s="1">
        <v>1643.31994628906</v>
      </c>
      <c r="P42" s="1">
        <v>312</v>
      </c>
      <c r="Q42" s="1">
        <v>88</v>
      </c>
      <c r="S42" s="1">
        <v>480</v>
      </c>
      <c r="T42" s="1">
        <v>59</v>
      </c>
      <c r="V42" s="1">
        <v>181</v>
      </c>
      <c r="W42" s="1">
        <v>1433.40002441406</v>
      </c>
    </row>
    <row r="43" spans="1:23">
      <c r="A43" s="1" t="s">
        <v>50</v>
      </c>
      <c r="B43" s="1" t="s">
        <v>136</v>
      </c>
      <c r="C43" s="1" t="s">
        <v>131</v>
      </c>
      <c r="D43" s="1" t="s">
        <v>15</v>
      </c>
      <c r="E43" s="204">
        <v>-0.11</v>
      </c>
      <c r="F43" s="204">
        <v>-0.54</v>
      </c>
      <c r="G43" s="204">
        <v>-0.84</v>
      </c>
      <c r="H43" s="204">
        <v>-0.91</v>
      </c>
      <c r="I43" s="204">
        <v>-0.91</v>
      </c>
      <c r="J43" s="204">
        <v>-0.31</v>
      </c>
      <c r="K43" s="1" t="s">
        <v>161</v>
      </c>
      <c r="L43" s="204">
        <v>-0.65</v>
      </c>
      <c r="M43" s="204">
        <v>-0.64</v>
      </c>
      <c r="N43" s="204">
        <v>-0.82</v>
      </c>
      <c r="O43" s="1" t="s">
        <v>161</v>
      </c>
      <c r="P43" s="204">
        <v>-0.7</v>
      </c>
      <c r="Q43" s="204">
        <v>-0.67</v>
      </c>
      <c r="R43" s="204">
        <v>-1</v>
      </c>
      <c r="S43" s="204">
        <v>-0.87</v>
      </c>
      <c r="T43" s="204">
        <v>-0.8</v>
      </c>
      <c r="U43" s="204" t="s">
        <v>161</v>
      </c>
      <c r="V43" s="204">
        <v>-0.71</v>
      </c>
      <c r="W43" s="204">
        <v>-0.34</v>
      </c>
    </row>
    <row r="44" spans="1:23">
      <c r="A44" s="1" t="s">
        <v>50</v>
      </c>
      <c r="B44" s="1" t="s">
        <v>164</v>
      </c>
      <c r="C44" s="1" t="s">
        <v>137</v>
      </c>
      <c r="D44" s="1">
        <v>2025</v>
      </c>
      <c r="E44" s="1">
        <v>126.90000152587901</v>
      </c>
      <c r="F44" s="1">
        <v>283.64999389648398</v>
      </c>
      <c r="G44" s="1">
        <v>2708.65991210938</v>
      </c>
      <c r="I44" s="1">
        <v>2887.919921875</v>
      </c>
      <c r="J44" s="1">
        <v>1987.5</v>
      </c>
      <c r="L44" s="1">
        <v>6099</v>
      </c>
      <c r="M44" s="1">
        <v>2050.419921875</v>
      </c>
      <c r="N44" s="1">
        <v>20864.669921875</v>
      </c>
      <c r="P44" s="1">
        <v>884</v>
      </c>
      <c r="Q44" s="1">
        <v>73.339996337890597</v>
      </c>
      <c r="R44" s="1">
        <v>1615.25</v>
      </c>
      <c r="S44" s="1">
        <v>6040</v>
      </c>
      <c r="T44" s="1">
        <v>354</v>
      </c>
      <c r="V44" s="1">
        <v>799.41998291015602</v>
      </c>
      <c r="W44" s="1">
        <v>5985.85009765625</v>
      </c>
    </row>
    <row r="45" spans="1:23">
      <c r="A45" s="1" t="s">
        <v>50</v>
      </c>
      <c r="B45" s="1" t="s">
        <v>164</v>
      </c>
      <c r="C45" s="1" t="s">
        <v>137</v>
      </c>
      <c r="D45" s="1">
        <v>2026</v>
      </c>
      <c r="G45" s="1">
        <v>512</v>
      </c>
      <c r="H45" s="1">
        <v>235</v>
      </c>
      <c r="I45" s="1">
        <v>596</v>
      </c>
      <c r="J45" s="1">
        <v>273</v>
      </c>
      <c r="L45" s="1">
        <v>1534.25</v>
      </c>
      <c r="M45" s="1">
        <v>277.5</v>
      </c>
      <c r="N45" s="1">
        <v>3060</v>
      </c>
      <c r="P45" s="1">
        <v>312</v>
      </c>
      <c r="Q45" s="205">
        <v>176</v>
      </c>
      <c r="R45" s="205">
        <v>273</v>
      </c>
      <c r="S45" s="1">
        <v>1860</v>
      </c>
      <c r="T45" s="1">
        <v>231.080001831055</v>
      </c>
      <c r="U45" s="1">
        <v>90.5</v>
      </c>
      <c r="V45" s="1">
        <v>362</v>
      </c>
      <c r="W45" s="1">
        <v>1221.6699829101599</v>
      </c>
    </row>
    <row r="46" spans="1:23">
      <c r="A46" s="1" t="s">
        <v>50</v>
      </c>
      <c r="B46" s="1" t="s">
        <v>164</v>
      </c>
      <c r="C46" s="1" t="s">
        <v>137</v>
      </c>
      <c r="D46" s="1" t="s">
        <v>15</v>
      </c>
      <c r="E46" s="204">
        <v>-1</v>
      </c>
      <c r="F46" s="204">
        <v>-1</v>
      </c>
      <c r="G46" s="204">
        <v>-0.81</v>
      </c>
      <c r="H46" s="204" t="s">
        <v>161</v>
      </c>
      <c r="I46" s="204">
        <v>-0.79</v>
      </c>
      <c r="J46" s="204">
        <v>-0.86</v>
      </c>
      <c r="K46" s="1" t="s">
        <v>161</v>
      </c>
      <c r="L46" s="204">
        <v>-0.75</v>
      </c>
      <c r="M46" s="204">
        <v>-0.86</v>
      </c>
      <c r="N46" s="204">
        <v>-0.85</v>
      </c>
      <c r="O46" s="1" t="s">
        <v>161</v>
      </c>
      <c r="P46" s="204">
        <v>-0.65</v>
      </c>
      <c r="Q46" s="204">
        <v>1.4</v>
      </c>
      <c r="R46" s="204">
        <v>-0.83</v>
      </c>
      <c r="S46" s="204">
        <v>-0.69</v>
      </c>
      <c r="T46" s="204">
        <v>-0.35</v>
      </c>
      <c r="U46" s="204" t="s">
        <v>161</v>
      </c>
      <c r="V46" s="204">
        <v>-0.55000000000000004</v>
      </c>
      <c r="W46" s="204">
        <v>-0.8</v>
      </c>
    </row>
    <row r="47" spans="1:23">
      <c r="A47" s="1" t="s">
        <v>50</v>
      </c>
      <c r="B47" s="1" t="s">
        <v>132</v>
      </c>
      <c r="C47" s="1" t="s">
        <v>144</v>
      </c>
      <c r="D47" s="1">
        <v>2025</v>
      </c>
      <c r="E47" s="1">
        <v>730.39001464843795</v>
      </c>
      <c r="F47" s="1">
        <v>1474.97998046875</v>
      </c>
      <c r="G47" s="1">
        <v>1314.5</v>
      </c>
      <c r="H47" s="1">
        <v>1650</v>
      </c>
      <c r="I47" s="1">
        <v>1740</v>
      </c>
      <c r="J47" s="1">
        <v>1060</v>
      </c>
      <c r="L47" s="1">
        <v>4769</v>
      </c>
      <c r="M47" s="1">
        <v>3507.2900390625</v>
      </c>
      <c r="N47" s="1">
        <v>12621.08984375</v>
      </c>
      <c r="P47" s="1">
        <v>1291.32995605469</v>
      </c>
      <c r="Q47" s="1">
        <v>541.40998840331997</v>
      </c>
      <c r="R47" s="1">
        <v>1114.73999023438</v>
      </c>
      <c r="S47" s="1">
        <v>4140.4199981689499</v>
      </c>
      <c r="T47" s="1">
        <v>644.08001708984398</v>
      </c>
      <c r="V47" s="1">
        <v>1206.67004394531</v>
      </c>
      <c r="W47" s="1">
        <v>2425.0599365234398</v>
      </c>
    </row>
    <row r="48" spans="1:23">
      <c r="A48" s="1" t="s">
        <v>50</v>
      </c>
      <c r="B48" s="1" t="s">
        <v>132</v>
      </c>
      <c r="C48" s="1" t="s">
        <v>144</v>
      </c>
      <c r="D48" s="1">
        <v>2026</v>
      </c>
      <c r="E48" s="1">
        <v>253.80000305175801</v>
      </c>
      <c r="F48" s="1">
        <v>453.83999633789102</v>
      </c>
      <c r="G48" s="1">
        <v>128</v>
      </c>
      <c r="L48" s="1">
        <v>793.25</v>
      </c>
      <c r="M48" s="1">
        <v>647.5</v>
      </c>
      <c r="N48" s="1">
        <v>2822</v>
      </c>
      <c r="P48" s="1">
        <v>416</v>
      </c>
      <c r="S48" s="1">
        <v>480</v>
      </c>
      <c r="T48" s="1">
        <v>59</v>
      </c>
      <c r="V48" s="1">
        <v>150.830001831055</v>
      </c>
      <c r="W48" s="1">
        <v>1334.0700378418001</v>
      </c>
    </row>
    <row r="49" spans="1:23">
      <c r="A49" s="1" t="s">
        <v>50</v>
      </c>
      <c r="B49" s="1" t="s">
        <v>132</v>
      </c>
      <c r="C49" s="1" t="s">
        <v>144</v>
      </c>
      <c r="D49" s="1" t="s">
        <v>15</v>
      </c>
      <c r="E49" s="204">
        <v>-0.65</v>
      </c>
      <c r="F49" s="204">
        <v>-0.69</v>
      </c>
      <c r="G49" s="204">
        <v>-0.9</v>
      </c>
      <c r="H49" s="204">
        <v>-1</v>
      </c>
      <c r="I49" s="204">
        <v>-1</v>
      </c>
      <c r="J49" s="204">
        <v>-1</v>
      </c>
      <c r="K49" s="1" t="s">
        <v>161</v>
      </c>
      <c r="L49" s="204">
        <v>-0.83</v>
      </c>
      <c r="M49" s="204">
        <v>-0.82</v>
      </c>
      <c r="N49" s="204">
        <v>-0.78</v>
      </c>
      <c r="O49" s="1" t="s">
        <v>161</v>
      </c>
      <c r="P49" s="204">
        <v>-0.68</v>
      </c>
      <c r="Q49" s="204">
        <v>-1</v>
      </c>
      <c r="R49" s="204">
        <v>-1</v>
      </c>
      <c r="S49" s="204">
        <v>-0.88</v>
      </c>
      <c r="T49" s="204">
        <v>-0.91</v>
      </c>
      <c r="U49" s="204" t="s">
        <v>161</v>
      </c>
      <c r="V49" s="204">
        <v>-0.88</v>
      </c>
      <c r="W49" s="204">
        <v>-0.45</v>
      </c>
    </row>
    <row r="50" spans="1:23">
      <c r="A50" s="1" t="s">
        <v>50</v>
      </c>
      <c r="B50" s="1" t="s">
        <v>133</v>
      </c>
      <c r="C50" s="1" t="s">
        <v>165</v>
      </c>
      <c r="D50" s="1">
        <v>2025</v>
      </c>
      <c r="E50" s="1">
        <v>101.51999664306599</v>
      </c>
      <c r="F50" s="1">
        <v>397.10998535156301</v>
      </c>
      <c r="G50" s="1">
        <v>1553.5</v>
      </c>
      <c r="H50" s="1">
        <v>2090</v>
      </c>
      <c r="I50" s="1">
        <v>2610</v>
      </c>
      <c r="J50" s="1">
        <v>1148.33996582031</v>
      </c>
      <c r="L50" s="1">
        <v>3173</v>
      </c>
      <c r="M50" s="1">
        <v>1857.7099609375</v>
      </c>
      <c r="N50" s="1">
        <v>6890.669921875</v>
      </c>
      <c r="P50" s="1">
        <v>468</v>
      </c>
      <c r="Q50" s="1">
        <v>396</v>
      </c>
      <c r="R50" s="1">
        <v>1217.11999511719</v>
      </c>
      <c r="S50" s="1">
        <v>3080</v>
      </c>
      <c r="T50" s="1">
        <v>295</v>
      </c>
      <c r="U50" s="1">
        <v>-45.25</v>
      </c>
      <c r="V50" s="1">
        <v>678.75</v>
      </c>
      <c r="W50" s="1">
        <v>1033.6999969482399</v>
      </c>
    </row>
    <row r="51" spans="1:23">
      <c r="A51" s="1" t="s">
        <v>50</v>
      </c>
      <c r="B51" s="1" t="s">
        <v>133</v>
      </c>
      <c r="C51" s="1" t="s">
        <v>165</v>
      </c>
      <c r="D51" s="1">
        <v>2026</v>
      </c>
      <c r="R51" s="205"/>
      <c r="U51" s="205"/>
    </row>
    <row r="52" spans="1:23">
      <c r="A52" s="1" t="s">
        <v>50</v>
      </c>
      <c r="B52" s="1" t="s">
        <v>133</v>
      </c>
      <c r="C52" s="1" t="s">
        <v>165</v>
      </c>
      <c r="D52" s="1" t="s">
        <v>15</v>
      </c>
      <c r="E52" s="204">
        <v>-1</v>
      </c>
      <c r="F52" s="204">
        <v>-1</v>
      </c>
      <c r="G52" s="204">
        <v>-1</v>
      </c>
      <c r="H52" s="204">
        <v>-1</v>
      </c>
      <c r="I52" s="204">
        <v>-1</v>
      </c>
      <c r="J52" s="204">
        <v>-1</v>
      </c>
      <c r="K52" s="1" t="s">
        <v>161</v>
      </c>
      <c r="L52" s="204">
        <v>-1</v>
      </c>
      <c r="M52" s="204">
        <v>-1</v>
      </c>
      <c r="N52" s="204">
        <v>-1</v>
      </c>
      <c r="O52" s="1" t="s">
        <v>161</v>
      </c>
      <c r="P52" s="204">
        <v>-1</v>
      </c>
      <c r="Q52" s="204">
        <v>-1</v>
      </c>
      <c r="R52" s="204">
        <v>-1</v>
      </c>
      <c r="S52" s="204">
        <v>-1</v>
      </c>
      <c r="T52" s="204">
        <v>-1</v>
      </c>
      <c r="U52" s="204">
        <v>-1</v>
      </c>
      <c r="V52" s="204">
        <v>-1</v>
      </c>
      <c r="W52" s="204">
        <v>-1</v>
      </c>
    </row>
    <row r="53" spans="1:23">
      <c r="A53" s="1" t="s">
        <v>50</v>
      </c>
      <c r="B53" s="1" t="s">
        <v>147</v>
      </c>
      <c r="C53" s="1" t="s">
        <v>152</v>
      </c>
      <c r="D53" s="1">
        <v>2025</v>
      </c>
      <c r="E53" s="1">
        <v>76.139999389648395</v>
      </c>
      <c r="F53" s="1">
        <v>170.19000244140599</v>
      </c>
      <c r="G53" s="1">
        <v>1075.5</v>
      </c>
      <c r="H53" s="1">
        <v>550</v>
      </c>
      <c r="I53" s="1">
        <v>1305</v>
      </c>
      <c r="J53" s="1">
        <v>265</v>
      </c>
      <c r="L53" s="1">
        <v>2223</v>
      </c>
      <c r="M53" s="1">
        <v>693.75</v>
      </c>
      <c r="N53" s="1">
        <v>3048.65991210938</v>
      </c>
      <c r="P53" s="1">
        <v>728</v>
      </c>
      <c r="Q53" s="1">
        <v>176</v>
      </c>
      <c r="R53" s="1">
        <v>523.25</v>
      </c>
      <c r="S53" s="1">
        <v>1260</v>
      </c>
      <c r="T53" s="1">
        <v>236</v>
      </c>
      <c r="U53" s="205"/>
      <c r="V53" s="1">
        <v>90.5</v>
      </c>
    </row>
    <row r="54" spans="1:23">
      <c r="A54" s="1" t="s">
        <v>50</v>
      </c>
      <c r="B54" s="1" t="s">
        <v>147</v>
      </c>
      <c r="C54" s="1" t="s">
        <v>152</v>
      </c>
      <c r="D54" s="1">
        <v>2026</v>
      </c>
      <c r="E54" s="1">
        <v>101.51999664306599</v>
      </c>
      <c r="F54" s="1">
        <v>170.19000244140599</v>
      </c>
      <c r="H54" s="1">
        <v>117.5</v>
      </c>
      <c r="I54" s="1">
        <v>745</v>
      </c>
      <c r="L54" s="1">
        <v>1140</v>
      </c>
      <c r="M54" s="1">
        <v>362.29000854492199</v>
      </c>
      <c r="N54" s="1">
        <v>2017.33996582031</v>
      </c>
      <c r="R54" s="205">
        <v>-68.269996643066406</v>
      </c>
      <c r="S54" s="1">
        <v>670</v>
      </c>
      <c r="T54" s="1">
        <v>59</v>
      </c>
      <c r="V54" s="1">
        <v>181</v>
      </c>
      <c r="W54" s="1">
        <v>450.58998870849598</v>
      </c>
    </row>
    <row r="55" spans="1:23">
      <c r="A55" s="1" t="s">
        <v>50</v>
      </c>
      <c r="B55" s="1" t="s">
        <v>147</v>
      </c>
      <c r="C55" s="1" t="s">
        <v>152</v>
      </c>
      <c r="D55" s="1" t="s">
        <v>15</v>
      </c>
      <c r="E55" s="204">
        <v>0.33</v>
      </c>
      <c r="F55" s="204">
        <v>0</v>
      </c>
      <c r="G55" s="204">
        <v>-1</v>
      </c>
      <c r="H55" s="204">
        <v>-0.79</v>
      </c>
      <c r="I55" s="204">
        <v>-0.43</v>
      </c>
      <c r="J55" s="204">
        <v>-1</v>
      </c>
      <c r="K55" s="1" t="s">
        <v>161</v>
      </c>
      <c r="L55" s="204">
        <v>-0.49</v>
      </c>
      <c r="M55" s="204">
        <v>-0.48</v>
      </c>
      <c r="N55" s="204">
        <v>-0.34</v>
      </c>
      <c r="O55" s="1" t="s">
        <v>161</v>
      </c>
      <c r="P55" s="204">
        <v>-1</v>
      </c>
      <c r="Q55" s="204">
        <v>-1</v>
      </c>
      <c r="R55" s="204">
        <v>-1.1299999999999999</v>
      </c>
      <c r="S55" s="204">
        <v>-0.47</v>
      </c>
      <c r="T55" s="204">
        <v>-0.75</v>
      </c>
      <c r="U55" s="204" t="s">
        <v>161</v>
      </c>
      <c r="V55" s="204">
        <v>1</v>
      </c>
      <c r="W55" s="204" t="s">
        <v>161</v>
      </c>
    </row>
    <row r="56" spans="1:23">
      <c r="A56" s="1" t="s">
        <v>50</v>
      </c>
      <c r="B56" s="1" t="s">
        <v>148</v>
      </c>
      <c r="C56" s="1" t="s">
        <v>159</v>
      </c>
      <c r="D56" s="1">
        <v>2025</v>
      </c>
      <c r="E56" s="1">
        <v>659.88000488281295</v>
      </c>
      <c r="F56" s="1">
        <v>510.57000732421898</v>
      </c>
      <c r="G56" s="1">
        <v>2509.5</v>
      </c>
      <c r="H56" s="1">
        <v>1870</v>
      </c>
      <c r="I56" s="1">
        <v>3322.919921875</v>
      </c>
      <c r="J56" s="1">
        <v>662.5</v>
      </c>
      <c r="L56" s="1">
        <v>6498</v>
      </c>
      <c r="M56" s="1">
        <v>2790.419921875</v>
      </c>
      <c r="N56" s="1">
        <v>7208</v>
      </c>
      <c r="P56" s="1">
        <v>1685.67004394531</v>
      </c>
      <c r="Q56" s="1">
        <v>484</v>
      </c>
      <c r="R56" s="1">
        <v>932.739990234375</v>
      </c>
      <c r="S56" s="1">
        <v>2960</v>
      </c>
      <c r="T56" s="1">
        <v>295</v>
      </c>
      <c r="V56" s="1">
        <v>610.86999511718795</v>
      </c>
      <c r="W56" s="1">
        <v>909.54000854492199</v>
      </c>
    </row>
    <row r="57" spans="1:23">
      <c r="A57" s="1" t="s">
        <v>50</v>
      </c>
      <c r="B57" s="1" t="s">
        <v>148</v>
      </c>
      <c r="C57" s="1" t="s">
        <v>190</v>
      </c>
      <c r="D57" s="1">
        <v>2026</v>
      </c>
      <c r="Q57" s="205"/>
    </row>
    <row r="58" spans="1:23">
      <c r="A58" s="1" t="s">
        <v>50</v>
      </c>
      <c r="B58" s="1" t="s">
        <v>148</v>
      </c>
      <c r="C58" s="1" t="s">
        <v>190</v>
      </c>
      <c r="D58" s="1" t="s">
        <v>15</v>
      </c>
      <c r="E58" s="204">
        <v>-1</v>
      </c>
      <c r="F58" s="204">
        <v>-1</v>
      </c>
      <c r="G58" s="204">
        <v>-1</v>
      </c>
      <c r="H58" s="204">
        <v>-1</v>
      </c>
      <c r="I58" s="204">
        <v>-1</v>
      </c>
      <c r="J58" s="204">
        <v>-1</v>
      </c>
      <c r="K58" s="1" t="s">
        <v>161</v>
      </c>
      <c r="L58" s="204">
        <v>-1</v>
      </c>
      <c r="M58" s="204">
        <v>-1</v>
      </c>
      <c r="N58" s="204">
        <v>-1</v>
      </c>
      <c r="O58" s="1" t="s">
        <v>161</v>
      </c>
      <c r="P58" s="204">
        <v>-1</v>
      </c>
      <c r="Q58" s="204">
        <v>-1</v>
      </c>
      <c r="R58" s="204">
        <v>-1</v>
      </c>
      <c r="S58" s="204">
        <v>-1</v>
      </c>
      <c r="T58" s="204">
        <v>-1</v>
      </c>
      <c r="U58" s="204" t="s">
        <v>161</v>
      </c>
      <c r="V58" s="204">
        <v>-1</v>
      </c>
      <c r="W58" s="204">
        <v>-1</v>
      </c>
    </row>
    <row r="59" spans="1:23">
      <c r="A59" s="1" t="s">
        <v>50</v>
      </c>
      <c r="B59" s="1" t="s">
        <v>141</v>
      </c>
      <c r="C59" s="1" t="s">
        <v>174</v>
      </c>
      <c r="D59" s="1">
        <v>2025</v>
      </c>
      <c r="E59" s="1">
        <v>177.66000366210901</v>
      </c>
      <c r="F59" s="1">
        <v>453.83999633789102</v>
      </c>
      <c r="G59" s="1">
        <v>358.5</v>
      </c>
      <c r="I59" s="1">
        <v>580</v>
      </c>
      <c r="L59" s="1">
        <v>1653</v>
      </c>
      <c r="M59" s="1">
        <v>1618.75</v>
      </c>
      <c r="N59" s="1">
        <v>1314.66003417969</v>
      </c>
      <c r="P59" s="1">
        <v>572</v>
      </c>
      <c r="Q59" s="1">
        <v>264</v>
      </c>
      <c r="R59" s="1">
        <v>136.5</v>
      </c>
      <c r="S59" s="1">
        <v>590</v>
      </c>
      <c r="T59" s="1">
        <v>236</v>
      </c>
      <c r="U59" s="1">
        <v>181</v>
      </c>
      <c r="V59" s="1">
        <v>407.25</v>
      </c>
      <c r="W59" s="1">
        <v>1218</v>
      </c>
    </row>
    <row r="60" spans="1:23">
      <c r="A60" s="1" t="s">
        <v>50</v>
      </c>
      <c r="B60" s="1" t="s">
        <v>141</v>
      </c>
      <c r="C60" s="1" t="s">
        <v>145</v>
      </c>
      <c r="D60" s="1">
        <v>2026</v>
      </c>
      <c r="U60" s="205"/>
    </row>
    <row r="61" spans="1:23">
      <c r="A61" s="1" t="s">
        <v>50</v>
      </c>
      <c r="B61" s="1" t="s">
        <v>141</v>
      </c>
      <c r="C61" s="1" t="s">
        <v>145</v>
      </c>
      <c r="D61" s="1" t="s">
        <v>15</v>
      </c>
      <c r="E61" s="204">
        <v>-1</v>
      </c>
      <c r="F61" s="204">
        <v>-1</v>
      </c>
      <c r="G61" s="204">
        <v>-1</v>
      </c>
      <c r="H61" s="204" t="s">
        <v>161</v>
      </c>
      <c r="I61" s="204">
        <v>-1</v>
      </c>
      <c r="J61" s="204" t="s">
        <v>161</v>
      </c>
      <c r="K61" s="1" t="s">
        <v>161</v>
      </c>
      <c r="L61" s="204">
        <v>-1</v>
      </c>
      <c r="M61" s="204">
        <v>-1</v>
      </c>
      <c r="N61" s="204">
        <v>-1</v>
      </c>
      <c r="O61" s="1" t="s">
        <v>161</v>
      </c>
      <c r="P61" s="204">
        <v>-1</v>
      </c>
      <c r="Q61" s="204">
        <v>-1</v>
      </c>
      <c r="R61" s="204">
        <v>-1</v>
      </c>
      <c r="S61" s="204">
        <v>-1</v>
      </c>
      <c r="T61" s="204">
        <v>-1</v>
      </c>
      <c r="U61" s="204">
        <v>-1</v>
      </c>
      <c r="V61" s="204">
        <v>-1</v>
      </c>
      <c r="W61" s="204">
        <v>-1</v>
      </c>
    </row>
    <row r="62" spans="1:23">
      <c r="A62" s="1" t="s">
        <v>50</v>
      </c>
      <c r="B62" s="1" t="s">
        <v>138</v>
      </c>
      <c r="C62" s="1" t="s">
        <v>103</v>
      </c>
      <c r="D62" s="1">
        <v>2025</v>
      </c>
      <c r="E62" s="1">
        <v>1637.31994628906</v>
      </c>
      <c r="F62" s="1">
        <v>3287.80004882813</v>
      </c>
      <c r="G62" s="1">
        <v>5596.580078125</v>
      </c>
      <c r="H62" s="1">
        <v>3080</v>
      </c>
      <c r="I62" s="1">
        <v>8120</v>
      </c>
      <c r="J62" s="1">
        <v>2385</v>
      </c>
      <c r="L62" s="1">
        <v>14345</v>
      </c>
      <c r="M62" s="1">
        <v>8949.3701171875</v>
      </c>
      <c r="N62" s="1">
        <v>13145.2099609375</v>
      </c>
      <c r="P62" s="1">
        <v>3319.330078125</v>
      </c>
      <c r="Q62" s="1">
        <v>895.24001693725597</v>
      </c>
      <c r="R62" s="1">
        <v>1387.75</v>
      </c>
      <c r="S62" s="1">
        <v>7015.5</v>
      </c>
      <c r="T62" s="1">
        <v>1347.16003417969</v>
      </c>
      <c r="U62" s="1">
        <v>37.709999084472699</v>
      </c>
      <c r="V62" s="1">
        <v>2986.55004882813</v>
      </c>
      <c r="W62" s="1">
        <v>9518.6298828125</v>
      </c>
    </row>
    <row r="63" spans="1:23">
      <c r="A63" s="1" t="s">
        <v>50</v>
      </c>
      <c r="B63" s="1" t="s">
        <v>138</v>
      </c>
      <c r="C63" s="1" t="s">
        <v>103</v>
      </c>
      <c r="D63" s="1">
        <v>2026</v>
      </c>
      <c r="E63" s="1">
        <v>126.90000152587901</v>
      </c>
      <c r="F63" s="1">
        <v>680.760009765625</v>
      </c>
      <c r="G63" s="1">
        <v>213.330001831055</v>
      </c>
      <c r="I63" s="1">
        <v>1490</v>
      </c>
      <c r="J63" s="1">
        <v>273</v>
      </c>
      <c r="L63" s="1">
        <v>1990.25</v>
      </c>
      <c r="M63" s="1">
        <v>1295</v>
      </c>
      <c r="N63" s="1">
        <v>1598</v>
      </c>
      <c r="P63" s="1">
        <v>208</v>
      </c>
      <c r="Q63" s="1">
        <v>51.330001831054702</v>
      </c>
      <c r="R63" s="205">
        <v>159.24000549316401</v>
      </c>
      <c r="S63" s="1">
        <v>940</v>
      </c>
      <c r="T63" s="1">
        <v>54.080001831054702</v>
      </c>
      <c r="U63" s="1">
        <v>22.629999160766602</v>
      </c>
      <c r="V63" s="1">
        <v>414.79998779296898</v>
      </c>
      <c r="W63" s="1">
        <v>1552.5599975585901</v>
      </c>
    </row>
    <row r="64" spans="1:23">
      <c r="A64" s="1" t="s">
        <v>50</v>
      </c>
      <c r="B64" s="1" t="s">
        <v>138</v>
      </c>
      <c r="C64" s="1" t="s">
        <v>103</v>
      </c>
      <c r="D64" s="1" t="s">
        <v>15</v>
      </c>
      <c r="E64" s="204">
        <v>-0.92</v>
      </c>
      <c r="F64" s="204">
        <v>-0.79</v>
      </c>
      <c r="G64" s="204">
        <v>-0.96</v>
      </c>
      <c r="H64" s="204">
        <v>-1</v>
      </c>
      <c r="I64" s="204">
        <v>-0.82</v>
      </c>
      <c r="J64" s="204">
        <v>-0.89</v>
      </c>
      <c r="K64" s="1" t="s">
        <v>161</v>
      </c>
      <c r="L64" s="204">
        <v>-0.86</v>
      </c>
      <c r="M64" s="204">
        <v>-0.86</v>
      </c>
      <c r="N64" s="204">
        <v>-0.88</v>
      </c>
      <c r="O64" s="1" t="s">
        <v>161</v>
      </c>
      <c r="P64" s="204">
        <v>-0.94</v>
      </c>
      <c r="Q64" s="204">
        <v>-0.94</v>
      </c>
      <c r="R64" s="204">
        <v>-0.89</v>
      </c>
      <c r="S64" s="204">
        <v>-0.87</v>
      </c>
      <c r="T64" s="204">
        <v>-0.96</v>
      </c>
      <c r="U64" s="204">
        <v>-0.4</v>
      </c>
      <c r="V64" s="204">
        <v>-0.86</v>
      </c>
      <c r="W64" s="204">
        <v>-0.84</v>
      </c>
    </row>
    <row r="65" spans="1:23">
      <c r="A65" s="1" t="s">
        <v>50</v>
      </c>
      <c r="B65" s="1" t="s">
        <v>139</v>
      </c>
      <c r="C65" s="1" t="s">
        <v>194</v>
      </c>
      <c r="D65" s="1">
        <v>2025</v>
      </c>
      <c r="E65" s="1">
        <v>1620.93994140625</v>
      </c>
      <c r="F65" s="1">
        <v>3277.6298828125</v>
      </c>
      <c r="G65" s="1">
        <v>6682.0400390625</v>
      </c>
      <c r="H65" s="1">
        <v>4730</v>
      </c>
      <c r="I65" s="1">
        <v>7491.669921875</v>
      </c>
      <c r="J65" s="1">
        <v>1325</v>
      </c>
      <c r="L65" s="1">
        <v>10084.25</v>
      </c>
      <c r="M65" s="1">
        <v>6713.9599609375</v>
      </c>
      <c r="N65" s="1">
        <v>15263.8798217773</v>
      </c>
      <c r="P65" s="1">
        <v>2041</v>
      </c>
      <c r="Q65" s="1">
        <v>982.34002685546898</v>
      </c>
      <c r="R65" s="1">
        <v>2718.6298828125</v>
      </c>
      <c r="S65" s="1">
        <v>8612.5</v>
      </c>
      <c r="T65" s="1">
        <v>1229.16003417969</v>
      </c>
      <c r="U65" s="1">
        <v>339.38000488281301</v>
      </c>
      <c r="V65" s="1">
        <v>2722.55004882813</v>
      </c>
      <c r="W65" s="1">
        <v>3812.28002929688</v>
      </c>
    </row>
    <row r="66" spans="1:23">
      <c r="A66" s="1" t="s">
        <v>50</v>
      </c>
      <c r="B66" s="1" t="s">
        <v>139</v>
      </c>
      <c r="C66" s="1" t="s">
        <v>169</v>
      </c>
      <c r="D66" s="1">
        <v>2026</v>
      </c>
      <c r="E66" s="1">
        <v>328.80999755859398</v>
      </c>
      <c r="F66" s="1">
        <v>1191.32995605469</v>
      </c>
      <c r="G66" s="1">
        <v>1013.33001708984</v>
      </c>
      <c r="H66" s="1">
        <v>235</v>
      </c>
      <c r="I66" s="1">
        <v>1788</v>
      </c>
      <c r="J66" s="1">
        <v>409.5</v>
      </c>
      <c r="L66" s="1">
        <v>2166</v>
      </c>
      <c r="M66" s="1">
        <v>1333.55004882813</v>
      </c>
      <c r="N66" s="1">
        <v>2720</v>
      </c>
      <c r="P66" s="1">
        <v>602.33001708984398</v>
      </c>
      <c r="Q66" s="205">
        <v>308</v>
      </c>
      <c r="R66" s="1">
        <v>546</v>
      </c>
      <c r="S66" s="1">
        <v>900</v>
      </c>
      <c r="T66" s="1">
        <v>118</v>
      </c>
      <c r="U66" s="1">
        <v>90.5</v>
      </c>
      <c r="V66" s="1">
        <v>595.79998779296898</v>
      </c>
      <c r="W66" s="1">
        <v>1400.33996582031</v>
      </c>
    </row>
    <row r="67" spans="1:23">
      <c r="A67" s="1" t="s">
        <v>50</v>
      </c>
      <c r="B67" s="1" t="s">
        <v>139</v>
      </c>
      <c r="C67" s="1" t="s">
        <v>169</v>
      </c>
      <c r="D67" s="1" t="s">
        <v>15</v>
      </c>
      <c r="E67" s="204">
        <v>-0.8</v>
      </c>
      <c r="F67" s="204">
        <v>-0.64</v>
      </c>
      <c r="G67" s="204">
        <v>-0.85</v>
      </c>
      <c r="H67" s="204">
        <v>-0.95</v>
      </c>
      <c r="I67" s="204">
        <v>-0.76</v>
      </c>
      <c r="J67" s="204">
        <v>-0.69</v>
      </c>
      <c r="K67" s="1" t="s">
        <v>161</v>
      </c>
      <c r="L67" s="204">
        <v>-0.79</v>
      </c>
      <c r="M67" s="204">
        <v>-0.8</v>
      </c>
      <c r="N67" s="204">
        <v>-0.82</v>
      </c>
      <c r="O67" s="1" t="s">
        <v>161</v>
      </c>
      <c r="P67" s="204">
        <v>-0.7</v>
      </c>
      <c r="Q67" s="204">
        <v>-0.69</v>
      </c>
      <c r="R67" s="204">
        <v>-0.8</v>
      </c>
      <c r="S67" s="204">
        <v>-0.9</v>
      </c>
      <c r="T67" s="204">
        <v>-0.9</v>
      </c>
      <c r="U67" s="204">
        <v>-0.73</v>
      </c>
      <c r="V67" s="204">
        <v>-0.78</v>
      </c>
      <c r="W67" s="204">
        <v>-0.63</v>
      </c>
    </row>
    <row r="68" spans="1:23">
      <c r="A68" s="1" t="s">
        <v>50</v>
      </c>
      <c r="B68" s="1" t="s">
        <v>140</v>
      </c>
      <c r="C68" s="1" t="s">
        <v>104</v>
      </c>
      <c r="D68" s="1">
        <v>2025</v>
      </c>
      <c r="E68" s="1">
        <v>76.139999389648395</v>
      </c>
      <c r="F68" s="1">
        <v>56.7299995422363</v>
      </c>
    </row>
    <row r="69" spans="1:23">
      <c r="A69" s="1" t="s">
        <v>50</v>
      </c>
      <c r="B69" s="1" t="s">
        <v>140</v>
      </c>
      <c r="C69" s="1" t="s">
        <v>104</v>
      </c>
      <c r="D69" s="1">
        <v>2026</v>
      </c>
      <c r="U69" s="205"/>
    </row>
    <row r="70" spans="1:23">
      <c r="A70" s="1" t="s">
        <v>50</v>
      </c>
      <c r="B70" s="1" t="s">
        <v>140</v>
      </c>
      <c r="C70" s="1" t="s">
        <v>104</v>
      </c>
      <c r="D70" s="1" t="s">
        <v>15</v>
      </c>
      <c r="E70" s="204">
        <v>-1</v>
      </c>
      <c r="F70" s="204">
        <v>-1</v>
      </c>
      <c r="G70" s="204" t="s">
        <v>161</v>
      </c>
      <c r="H70" s="204" t="s">
        <v>161</v>
      </c>
      <c r="I70" s="204" t="s">
        <v>161</v>
      </c>
      <c r="J70" s="204" t="s">
        <v>161</v>
      </c>
      <c r="K70" s="1" t="s">
        <v>161</v>
      </c>
      <c r="L70" s="204" t="s">
        <v>161</v>
      </c>
      <c r="M70" s="204" t="s">
        <v>161</v>
      </c>
      <c r="N70" s="204" t="s">
        <v>161</v>
      </c>
      <c r="O70" s="1" t="s">
        <v>161</v>
      </c>
      <c r="P70" s="204" t="s">
        <v>161</v>
      </c>
      <c r="Q70" s="204" t="s">
        <v>161</v>
      </c>
      <c r="R70" s="204" t="s">
        <v>161</v>
      </c>
      <c r="S70" s="204" t="s">
        <v>161</v>
      </c>
      <c r="T70" s="204" t="s">
        <v>161</v>
      </c>
      <c r="U70" s="204" t="s">
        <v>161</v>
      </c>
      <c r="V70" s="204" t="s">
        <v>161</v>
      </c>
      <c r="W70" s="204" t="s">
        <v>161</v>
      </c>
    </row>
    <row r="71" spans="1:23">
      <c r="A71" s="1" t="s">
        <v>50</v>
      </c>
      <c r="B71" s="1" t="s">
        <v>134</v>
      </c>
      <c r="C71" s="1" t="s">
        <v>149</v>
      </c>
      <c r="D71" s="1">
        <v>2025</v>
      </c>
      <c r="E71" s="1">
        <v>1266.75</v>
      </c>
      <c r="F71" s="1">
        <v>2377.580078125</v>
      </c>
      <c r="G71" s="1">
        <v>4640.580078125</v>
      </c>
      <c r="H71" s="1">
        <v>6270</v>
      </c>
      <c r="I71" s="1">
        <v>6815</v>
      </c>
      <c r="J71" s="1">
        <v>4372.5</v>
      </c>
      <c r="L71" s="1">
        <v>9210.25</v>
      </c>
      <c r="M71" s="1">
        <v>8795.2197265625</v>
      </c>
      <c r="N71" s="1">
        <v>23573.3203125</v>
      </c>
      <c r="P71" s="1">
        <v>1785.33996582031</v>
      </c>
      <c r="Q71" s="1">
        <v>704</v>
      </c>
      <c r="R71" s="1">
        <v>2252.23999023438</v>
      </c>
      <c r="S71" s="1">
        <v>8330</v>
      </c>
      <c r="T71" s="1">
        <v>1150.5</v>
      </c>
      <c r="V71" s="1">
        <v>2058.8701171875</v>
      </c>
      <c r="W71" s="1">
        <v>1818.8000049591101</v>
      </c>
    </row>
    <row r="72" spans="1:23">
      <c r="A72" s="1" t="s">
        <v>50</v>
      </c>
      <c r="B72" s="1" t="s">
        <v>134</v>
      </c>
      <c r="C72" s="1" t="s">
        <v>167</v>
      </c>
      <c r="D72" s="1">
        <v>2026</v>
      </c>
      <c r="E72" s="1">
        <v>203.03999328613301</v>
      </c>
      <c r="F72" s="1">
        <v>624.030029296875</v>
      </c>
      <c r="G72" s="1">
        <v>1024</v>
      </c>
      <c r="H72" s="1">
        <v>1175</v>
      </c>
      <c r="I72" s="1">
        <v>1341</v>
      </c>
      <c r="J72" s="1">
        <v>1092</v>
      </c>
      <c r="L72" s="1">
        <v>2109</v>
      </c>
      <c r="M72" s="1">
        <v>1850</v>
      </c>
      <c r="N72" s="1">
        <v>4421.4199981689499</v>
      </c>
      <c r="P72" s="1">
        <v>520</v>
      </c>
      <c r="Q72" s="1">
        <v>176</v>
      </c>
      <c r="R72" s="1">
        <v>477.75</v>
      </c>
      <c r="S72" s="1">
        <v>840</v>
      </c>
      <c r="U72" s="1">
        <v>90.5</v>
      </c>
      <c r="V72" s="1">
        <v>543</v>
      </c>
      <c r="W72" s="1">
        <v>223.19999694824199</v>
      </c>
    </row>
    <row r="73" spans="1:23">
      <c r="A73" s="1" t="s">
        <v>50</v>
      </c>
      <c r="B73" s="1" t="s">
        <v>134</v>
      </c>
      <c r="C73" s="1" t="s">
        <v>167</v>
      </c>
      <c r="D73" s="1" t="s">
        <v>15</v>
      </c>
      <c r="E73" s="204">
        <v>-0.84</v>
      </c>
      <c r="F73" s="204">
        <v>-0.74</v>
      </c>
      <c r="G73" s="204">
        <v>-0.78</v>
      </c>
      <c r="H73" s="204">
        <v>-0.81</v>
      </c>
      <c r="I73" s="204">
        <v>-0.8</v>
      </c>
      <c r="J73" s="204">
        <v>-0.75</v>
      </c>
      <c r="K73" s="1" t="s">
        <v>161</v>
      </c>
      <c r="L73" s="204">
        <v>-0.77</v>
      </c>
      <c r="M73" s="204">
        <v>-0.79</v>
      </c>
      <c r="N73" s="204">
        <v>-0.81</v>
      </c>
      <c r="O73" s="1" t="s">
        <v>161</v>
      </c>
      <c r="P73" s="204">
        <v>-0.71</v>
      </c>
      <c r="Q73" s="204">
        <v>-0.75</v>
      </c>
      <c r="R73" s="204">
        <v>-0.79</v>
      </c>
      <c r="S73" s="204">
        <v>-0.9</v>
      </c>
      <c r="T73" s="204">
        <v>-1</v>
      </c>
      <c r="U73" s="204" t="s">
        <v>161</v>
      </c>
      <c r="V73" s="204">
        <v>-0.74</v>
      </c>
      <c r="W73" s="204">
        <v>-0.88</v>
      </c>
    </row>
    <row r="74" spans="1:23">
      <c r="A74" s="1" t="s">
        <v>50</v>
      </c>
      <c r="B74" s="1" t="s">
        <v>168</v>
      </c>
      <c r="C74" s="1" t="s">
        <v>163</v>
      </c>
      <c r="D74" s="1">
        <v>2025</v>
      </c>
    </row>
    <row r="75" spans="1:23">
      <c r="A75" s="1" t="s">
        <v>50</v>
      </c>
      <c r="B75" s="1" t="s">
        <v>168</v>
      </c>
      <c r="C75" s="1" t="s">
        <v>149</v>
      </c>
      <c r="D75" s="1">
        <v>2026</v>
      </c>
      <c r="E75" s="1">
        <v>304.55999755859398</v>
      </c>
      <c r="F75" s="1">
        <v>624.030029296875</v>
      </c>
      <c r="G75" s="1">
        <v>896</v>
      </c>
      <c r="H75" s="1">
        <v>235</v>
      </c>
      <c r="I75" s="1">
        <v>894</v>
      </c>
      <c r="J75" s="1">
        <v>409.5</v>
      </c>
      <c r="L75" s="1">
        <v>1315.75</v>
      </c>
      <c r="M75" s="1">
        <v>740</v>
      </c>
      <c r="N75" s="1">
        <v>1620.67004394531</v>
      </c>
      <c r="P75" s="1">
        <v>299</v>
      </c>
      <c r="Q75" s="1">
        <v>80.669998168945298</v>
      </c>
      <c r="R75" s="205">
        <v>-22.7399997711182</v>
      </c>
      <c r="S75" s="1">
        <v>680</v>
      </c>
      <c r="T75" s="1">
        <v>59</v>
      </c>
      <c r="V75" s="1">
        <v>181</v>
      </c>
    </row>
    <row r="76" spans="1:23">
      <c r="A76" s="1" t="s">
        <v>50</v>
      </c>
      <c r="B76" s="1" t="s">
        <v>168</v>
      </c>
      <c r="C76" s="1" t="s">
        <v>149</v>
      </c>
      <c r="D76" s="1" t="s">
        <v>15</v>
      </c>
      <c r="E76" s="204" t="s">
        <v>161</v>
      </c>
      <c r="F76" s="204" t="s">
        <v>161</v>
      </c>
      <c r="G76" s="204" t="s">
        <v>161</v>
      </c>
      <c r="H76" s="204" t="s">
        <v>161</v>
      </c>
      <c r="I76" s="204" t="s">
        <v>161</v>
      </c>
      <c r="J76" s="204" t="s">
        <v>161</v>
      </c>
      <c r="K76" s="1" t="s">
        <v>161</v>
      </c>
      <c r="L76" s="204" t="s">
        <v>161</v>
      </c>
      <c r="M76" s="204" t="s">
        <v>161</v>
      </c>
      <c r="N76" s="204" t="s">
        <v>161</v>
      </c>
      <c r="O76" s="1" t="s">
        <v>161</v>
      </c>
      <c r="P76" s="204" t="s">
        <v>161</v>
      </c>
      <c r="Q76" s="204" t="s">
        <v>161</v>
      </c>
      <c r="R76" s="204" t="s">
        <v>161</v>
      </c>
      <c r="S76" s="204" t="s">
        <v>161</v>
      </c>
      <c r="T76" s="204" t="s">
        <v>161</v>
      </c>
      <c r="U76" s="204" t="s">
        <v>161</v>
      </c>
      <c r="V76" s="204" t="s">
        <v>161</v>
      </c>
      <c r="W76" s="204" t="s">
        <v>161</v>
      </c>
    </row>
    <row r="77" spans="1:23">
      <c r="A77" s="1" t="s">
        <v>50</v>
      </c>
      <c r="B77" s="1" t="s">
        <v>135</v>
      </c>
      <c r="C77" s="1" t="s">
        <v>115</v>
      </c>
      <c r="D77" s="1">
        <v>2025</v>
      </c>
      <c r="E77" s="1">
        <v>253.80000305175801</v>
      </c>
      <c r="F77" s="1">
        <v>1134.59997558594</v>
      </c>
      <c r="G77" s="1">
        <v>2509.5</v>
      </c>
      <c r="H77" s="1">
        <v>2200</v>
      </c>
      <c r="I77" s="1">
        <v>2900</v>
      </c>
      <c r="J77" s="1">
        <v>3180</v>
      </c>
      <c r="L77" s="1">
        <v>8084.5</v>
      </c>
      <c r="M77" s="1">
        <v>7114.89013671875</v>
      </c>
      <c r="N77" s="1">
        <v>15583.169921875</v>
      </c>
      <c r="P77" s="1">
        <v>1408.32995605469</v>
      </c>
      <c r="Q77" s="1">
        <v>777.33001708984398</v>
      </c>
      <c r="R77" s="1">
        <v>2582.14990234375</v>
      </c>
      <c r="S77" s="1">
        <v>5750</v>
      </c>
      <c r="T77" s="1">
        <v>531</v>
      </c>
      <c r="U77" s="1">
        <v>271.5</v>
      </c>
      <c r="V77" s="1">
        <v>1387.63000488281</v>
      </c>
      <c r="W77" s="1">
        <v>6967.89013671875</v>
      </c>
    </row>
    <row r="78" spans="1:23">
      <c r="A78" s="1" t="s">
        <v>50</v>
      </c>
      <c r="B78" s="1" t="s">
        <v>135</v>
      </c>
      <c r="C78" s="1" t="s">
        <v>166</v>
      </c>
      <c r="D78" s="1">
        <v>2026</v>
      </c>
      <c r="E78" s="1">
        <v>50.759998321533203</v>
      </c>
      <c r="G78" s="1">
        <v>512</v>
      </c>
      <c r="H78" s="1">
        <v>235</v>
      </c>
      <c r="I78" s="1">
        <v>447</v>
      </c>
      <c r="J78" s="1">
        <v>682.5</v>
      </c>
      <c r="L78" s="1">
        <v>1311</v>
      </c>
      <c r="M78" s="1">
        <v>1202.5</v>
      </c>
      <c r="N78" s="1">
        <v>2176</v>
      </c>
      <c r="P78" s="1">
        <v>416</v>
      </c>
      <c r="Q78" s="1">
        <v>88</v>
      </c>
      <c r="R78" s="1">
        <v>-45.5</v>
      </c>
      <c r="S78" s="1">
        <v>1070</v>
      </c>
      <c r="V78" s="1">
        <v>90.5</v>
      </c>
    </row>
    <row r="79" spans="1:23">
      <c r="A79" s="1" t="s">
        <v>50</v>
      </c>
      <c r="B79" s="1" t="s">
        <v>135</v>
      </c>
      <c r="C79" s="1" t="s">
        <v>166</v>
      </c>
      <c r="D79" s="1" t="s">
        <v>15</v>
      </c>
      <c r="E79" s="204">
        <v>-0.8</v>
      </c>
      <c r="F79" s="204">
        <v>-1</v>
      </c>
      <c r="G79" s="204">
        <v>-0.8</v>
      </c>
      <c r="H79" s="204">
        <v>-0.89</v>
      </c>
      <c r="I79" s="204">
        <v>-0.85</v>
      </c>
      <c r="J79" s="204">
        <v>-0.79</v>
      </c>
      <c r="K79" s="1" t="s">
        <v>161</v>
      </c>
      <c r="L79" s="204">
        <v>-0.84</v>
      </c>
      <c r="M79" s="204">
        <v>-0.83</v>
      </c>
      <c r="N79" s="204">
        <v>-0.86</v>
      </c>
      <c r="O79" s="1" t="s">
        <v>161</v>
      </c>
      <c r="P79" s="204">
        <v>-0.7</v>
      </c>
      <c r="Q79" s="204">
        <v>-0.89</v>
      </c>
      <c r="R79" s="204">
        <v>-1.02</v>
      </c>
      <c r="S79" s="204">
        <v>-0.81</v>
      </c>
      <c r="T79" s="204">
        <v>-1</v>
      </c>
      <c r="U79" s="204">
        <v>-1</v>
      </c>
      <c r="V79" s="204">
        <v>-0.93</v>
      </c>
      <c r="W79" s="204">
        <v>-1</v>
      </c>
    </row>
    <row r="80" spans="1:23">
      <c r="A80" s="1" t="s">
        <v>50</v>
      </c>
      <c r="B80" s="1" t="s">
        <v>150</v>
      </c>
      <c r="C80" s="1" t="s">
        <v>162</v>
      </c>
      <c r="D80" s="1">
        <v>2025</v>
      </c>
      <c r="E80" s="1">
        <v>329.94000244140602</v>
      </c>
      <c r="F80" s="1">
        <v>907.67999267578102</v>
      </c>
      <c r="G80" s="1">
        <v>1314.5</v>
      </c>
      <c r="I80" s="1">
        <v>2755</v>
      </c>
      <c r="J80" s="1">
        <v>1855</v>
      </c>
      <c r="L80" s="1">
        <v>4617</v>
      </c>
      <c r="M80" s="1">
        <v>4108.60986328125</v>
      </c>
      <c r="N80" s="1">
        <v>11605.25</v>
      </c>
      <c r="P80" s="1">
        <v>385.66000366210898</v>
      </c>
      <c r="Q80" s="1">
        <v>352</v>
      </c>
      <c r="R80" s="1">
        <v>989.66998291015602</v>
      </c>
      <c r="S80" s="1">
        <v>3510</v>
      </c>
      <c r="T80" s="1">
        <v>413</v>
      </c>
      <c r="U80" s="1">
        <v>181</v>
      </c>
      <c r="V80" s="1">
        <v>1161.39001464844</v>
      </c>
      <c r="W80" s="1">
        <v>1639.97998046875</v>
      </c>
    </row>
    <row r="81" spans="1:23">
      <c r="A81" s="1" t="s">
        <v>50</v>
      </c>
      <c r="B81" s="1" t="s">
        <v>150</v>
      </c>
      <c r="C81" s="1" t="s">
        <v>162</v>
      </c>
      <c r="D81" s="1">
        <v>2026</v>
      </c>
      <c r="G81" s="1">
        <v>512</v>
      </c>
      <c r="H81" s="1">
        <v>352.5</v>
      </c>
      <c r="I81" s="1">
        <v>1043</v>
      </c>
      <c r="J81" s="1">
        <v>682.5</v>
      </c>
      <c r="L81" s="1">
        <v>1315.75</v>
      </c>
      <c r="M81" s="1">
        <v>1503.15002441406</v>
      </c>
      <c r="N81" s="1">
        <v>3105.34008789063</v>
      </c>
      <c r="P81" s="1">
        <v>364</v>
      </c>
      <c r="Q81" s="1">
        <v>234.66000366210901</v>
      </c>
      <c r="R81" s="1">
        <v>511.86999511718801</v>
      </c>
      <c r="S81" s="1">
        <v>590</v>
      </c>
      <c r="T81" s="1">
        <v>49.169998168945298</v>
      </c>
      <c r="U81" s="205"/>
      <c r="W81" s="1">
        <v>1237.23999023438</v>
      </c>
    </row>
    <row r="82" spans="1:23">
      <c r="A82" s="1" t="s">
        <v>50</v>
      </c>
      <c r="B82" s="1" t="s">
        <v>150</v>
      </c>
      <c r="C82" s="1" t="s">
        <v>162</v>
      </c>
      <c r="D82" s="1" t="s">
        <v>15</v>
      </c>
      <c r="E82" s="204">
        <v>-1</v>
      </c>
      <c r="F82" s="204">
        <v>-1</v>
      </c>
      <c r="G82" s="204">
        <v>-0.61</v>
      </c>
      <c r="H82" s="204" t="s">
        <v>161</v>
      </c>
      <c r="I82" s="204">
        <v>-0.62</v>
      </c>
      <c r="J82" s="204">
        <v>-0.63</v>
      </c>
      <c r="K82" s="1" t="s">
        <v>161</v>
      </c>
      <c r="L82" s="204">
        <v>-0.72</v>
      </c>
      <c r="M82" s="204">
        <v>-0.63</v>
      </c>
      <c r="N82" s="204">
        <v>-0.73</v>
      </c>
      <c r="O82" s="1" t="s">
        <v>161</v>
      </c>
      <c r="P82" s="204">
        <v>-0.06</v>
      </c>
      <c r="Q82" s="204">
        <v>-0.33</v>
      </c>
      <c r="R82" s="204">
        <v>-0.48</v>
      </c>
      <c r="S82" s="204">
        <v>-0.83</v>
      </c>
      <c r="T82" s="204">
        <v>-0.88</v>
      </c>
      <c r="U82" s="204">
        <v>-1</v>
      </c>
      <c r="V82" s="204">
        <v>-1</v>
      </c>
      <c r="W82" s="204">
        <v>-0.25</v>
      </c>
    </row>
    <row r="83" spans="1:23">
      <c r="A83" s="1" t="s">
        <v>50</v>
      </c>
      <c r="B83" s="1" t="s">
        <v>157</v>
      </c>
      <c r="C83" s="1" t="s">
        <v>189</v>
      </c>
      <c r="D83" s="1">
        <v>2025</v>
      </c>
    </row>
    <row r="84" spans="1:23">
      <c r="A84" s="1" t="s">
        <v>50</v>
      </c>
      <c r="B84" s="1" t="s">
        <v>157</v>
      </c>
      <c r="C84" s="1" t="s">
        <v>174</v>
      </c>
      <c r="D84" s="1">
        <v>2026</v>
      </c>
      <c r="E84" s="1">
        <v>126.90000152587901</v>
      </c>
      <c r="F84" s="1">
        <v>510.57000732421898</v>
      </c>
      <c r="G84" s="1">
        <v>512</v>
      </c>
      <c r="H84" s="1">
        <v>117.5</v>
      </c>
      <c r="I84" s="1">
        <v>596</v>
      </c>
      <c r="J84" s="1">
        <v>273</v>
      </c>
      <c r="L84" s="1">
        <v>1254</v>
      </c>
      <c r="M84" s="1">
        <v>740</v>
      </c>
      <c r="N84" s="1">
        <v>1360</v>
      </c>
      <c r="P84" s="1">
        <v>260</v>
      </c>
      <c r="R84" s="1">
        <v>204.75</v>
      </c>
      <c r="S84" s="1">
        <v>941.92000007629395</v>
      </c>
      <c r="T84" s="1">
        <v>118</v>
      </c>
      <c r="V84" s="1">
        <v>181</v>
      </c>
      <c r="W84" s="1">
        <v>1218.9499816894499</v>
      </c>
    </row>
    <row r="85" spans="1:23">
      <c r="A85" s="1" t="s">
        <v>50</v>
      </c>
      <c r="B85" s="1" t="s">
        <v>157</v>
      </c>
      <c r="C85" s="1" t="s">
        <v>174</v>
      </c>
      <c r="D85" s="1" t="s">
        <v>15</v>
      </c>
      <c r="E85" s="204" t="s">
        <v>161</v>
      </c>
      <c r="F85" s="204" t="s">
        <v>161</v>
      </c>
      <c r="G85" s="204" t="s">
        <v>161</v>
      </c>
      <c r="H85" s="204" t="s">
        <v>161</v>
      </c>
      <c r="I85" s="204" t="s">
        <v>161</v>
      </c>
      <c r="J85" s="204" t="s">
        <v>161</v>
      </c>
      <c r="K85" s="1" t="s">
        <v>161</v>
      </c>
      <c r="L85" s="204" t="s">
        <v>161</v>
      </c>
      <c r="M85" s="204" t="s">
        <v>161</v>
      </c>
      <c r="N85" s="204" t="s">
        <v>161</v>
      </c>
      <c r="O85" s="1" t="s">
        <v>161</v>
      </c>
      <c r="P85" s="204" t="s">
        <v>161</v>
      </c>
      <c r="Q85" s="204" t="s">
        <v>161</v>
      </c>
      <c r="R85" s="204" t="s">
        <v>161</v>
      </c>
      <c r="S85" s="204" t="s">
        <v>161</v>
      </c>
      <c r="T85" s="204" t="s">
        <v>161</v>
      </c>
      <c r="U85" s="204" t="s">
        <v>161</v>
      </c>
      <c r="V85" s="204" t="s">
        <v>161</v>
      </c>
      <c r="W85" s="204" t="s">
        <v>161</v>
      </c>
    </row>
    <row r="86" spans="1:23">
      <c r="A86" s="1" t="s">
        <v>50</v>
      </c>
      <c r="B86" s="1" t="s">
        <v>156</v>
      </c>
      <c r="C86" s="1" t="s">
        <v>121</v>
      </c>
      <c r="D86" s="1">
        <v>2025</v>
      </c>
      <c r="E86" s="1">
        <v>1116.71997070313</v>
      </c>
      <c r="F86" s="1">
        <v>3403.80004882813</v>
      </c>
      <c r="G86" s="1">
        <v>6214</v>
      </c>
      <c r="H86" s="1">
        <v>1870</v>
      </c>
      <c r="I86" s="1">
        <v>8555</v>
      </c>
      <c r="J86" s="1">
        <v>1060</v>
      </c>
      <c r="L86" s="1">
        <v>10597.25</v>
      </c>
      <c r="M86" s="1">
        <v>6151.27001953125</v>
      </c>
      <c r="N86" s="1">
        <v>7989.97998046875</v>
      </c>
      <c r="P86" s="1">
        <v>2236</v>
      </c>
      <c r="Q86" s="1">
        <v>1092.67004394531</v>
      </c>
      <c r="R86" s="1">
        <v>705.25</v>
      </c>
      <c r="S86" s="1">
        <v>5260</v>
      </c>
      <c r="T86" s="1">
        <v>526.08001708984398</v>
      </c>
      <c r="U86" s="1">
        <v>196.080001831055</v>
      </c>
      <c r="V86" s="1">
        <v>2903.47998046875</v>
      </c>
      <c r="W86" s="1">
        <v>10967.1796875</v>
      </c>
    </row>
    <row r="87" spans="1:23">
      <c r="A87" s="1" t="s">
        <v>50</v>
      </c>
      <c r="B87" s="1" t="s">
        <v>156</v>
      </c>
      <c r="C87" s="1" t="s">
        <v>121</v>
      </c>
      <c r="D87" s="1">
        <v>2026</v>
      </c>
    </row>
    <row r="88" spans="1:23">
      <c r="A88" s="1" t="s">
        <v>50</v>
      </c>
      <c r="B88" s="1" t="s">
        <v>156</v>
      </c>
      <c r="C88" s="1" t="s">
        <v>121</v>
      </c>
      <c r="D88" s="1" t="s">
        <v>15</v>
      </c>
      <c r="E88" s="204">
        <v>-1</v>
      </c>
      <c r="F88" s="204">
        <v>-1</v>
      </c>
      <c r="G88" s="204">
        <v>-1</v>
      </c>
      <c r="H88" s="204">
        <v>-1</v>
      </c>
      <c r="I88" s="204">
        <v>-1</v>
      </c>
      <c r="J88" s="204">
        <v>-1</v>
      </c>
      <c r="K88" s="1" t="s">
        <v>161</v>
      </c>
      <c r="L88" s="204">
        <v>-1</v>
      </c>
      <c r="M88" s="204">
        <v>-1</v>
      </c>
      <c r="N88" s="204">
        <v>-1</v>
      </c>
      <c r="O88" s="1" t="s">
        <v>161</v>
      </c>
      <c r="P88" s="204">
        <v>-1</v>
      </c>
      <c r="Q88" s="204">
        <v>-1</v>
      </c>
      <c r="R88" s="204">
        <v>-1</v>
      </c>
      <c r="S88" s="204">
        <v>-1</v>
      </c>
      <c r="T88" s="204">
        <v>-1</v>
      </c>
      <c r="U88" s="204">
        <v>-1</v>
      </c>
      <c r="V88" s="204">
        <v>-1</v>
      </c>
      <c r="W88" s="204">
        <v>-1</v>
      </c>
    </row>
    <row r="89" spans="1:23">
      <c r="A89" s="1" t="s">
        <v>50</v>
      </c>
      <c r="B89" s="1" t="s">
        <v>55</v>
      </c>
      <c r="C89" s="1" t="s">
        <v>55</v>
      </c>
      <c r="D89" s="1">
        <v>2025</v>
      </c>
      <c r="E89" s="1">
        <v>13432.880000114401</v>
      </c>
      <c r="F89" s="1">
        <v>23058</v>
      </c>
      <c r="G89" s="1">
        <v>4110.9699997901898</v>
      </c>
      <c r="H89" s="1">
        <v>45844.160003662102</v>
      </c>
      <c r="I89" s="1">
        <v>3768.8499984741202</v>
      </c>
      <c r="J89" s="1">
        <v>1052.09999847412</v>
      </c>
      <c r="K89" s="1">
        <v>0</v>
      </c>
      <c r="L89" s="1">
        <v>247320.979999542</v>
      </c>
      <c r="M89" s="1">
        <v>167788.190000534</v>
      </c>
      <c r="N89" s="1">
        <v>273226.341873169</v>
      </c>
      <c r="O89" s="1">
        <v>0</v>
      </c>
      <c r="P89" s="1">
        <v>23919.580078125</v>
      </c>
      <c r="Q89" s="1">
        <v>16707</v>
      </c>
      <c r="R89" s="1">
        <v>34840</v>
      </c>
      <c r="S89" s="1">
        <v>142867</v>
      </c>
      <c r="T89" s="1">
        <v>4032</v>
      </c>
      <c r="U89" s="1">
        <v>1290</v>
      </c>
      <c r="V89" s="1">
        <v>26627.0302734375</v>
      </c>
      <c r="W89" s="1">
        <v>2354.1099853515602</v>
      </c>
    </row>
    <row r="90" spans="1:23">
      <c r="A90" s="1" t="s">
        <v>50</v>
      </c>
      <c r="B90" s="1" t="s">
        <v>55</v>
      </c>
      <c r="C90" s="1" t="s">
        <v>55</v>
      </c>
      <c r="D90" s="1">
        <v>2026</v>
      </c>
      <c r="E90" s="1">
        <v>50.780001640319803</v>
      </c>
      <c r="F90" s="1">
        <v>504.42001342773398</v>
      </c>
      <c r="G90" s="1">
        <v>252.16000366210901</v>
      </c>
      <c r="H90" s="1">
        <v>115.15000152587901</v>
      </c>
      <c r="I90" s="1">
        <v>430.02000427246099</v>
      </c>
      <c r="J90" s="1">
        <v>133.77000427246099</v>
      </c>
      <c r="K90" s="1">
        <v>0</v>
      </c>
      <c r="L90" s="1">
        <v>825.98001098632801</v>
      </c>
      <c r="M90" s="1">
        <v>819.55999755859398</v>
      </c>
      <c r="N90" s="1">
        <v>1271.6599731445301</v>
      </c>
      <c r="O90" s="1">
        <v>0</v>
      </c>
      <c r="P90" s="1">
        <v>612.55999755859398</v>
      </c>
      <c r="Q90" s="1">
        <v>432.56001281738298</v>
      </c>
      <c r="R90" s="1">
        <v>335.79998779296898</v>
      </c>
      <c r="S90" s="1">
        <v>523.63000488281295</v>
      </c>
      <c r="T90" s="1">
        <v>116.81999969482401</v>
      </c>
      <c r="U90" s="1">
        <v>89.150001525878906</v>
      </c>
      <c r="V90" s="1">
        <v>237.11000061035199</v>
      </c>
      <c r="W90" s="1">
        <v>901.87001037597702</v>
      </c>
    </row>
    <row r="91" spans="1:23">
      <c r="A91" s="1" t="s">
        <v>50</v>
      </c>
      <c r="B91" s="1" t="s">
        <v>55</v>
      </c>
      <c r="C91" s="1" t="s">
        <v>55</v>
      </c>
      <c r="D91" s="1" t="s">
        <v>15</v>
      </c>
      <c r="E91" s="204">
        <v>-1</v>
      </c>
      <c r="F91" s="204">
        <v>-0.98</v>
      </c>
      <c r="G91" s="204">
        <v>-0.94</v>
      </c>
      <c r="H91" s="204">
        <v>-1</v>
      </c>
      <c r="I91" s="204">
        <v>-0.89</v>
      </c>
      <c r="J91" s="204">
        <v>-0.87</v>
      </c>
      <c r="K91" s="1" t="s">
        <v>161</v>
      </c>
      <c r="L91" s="204">
        <v>-1</v>
      </c>
      <c r="M91" s="204">
        <v>-1</v>
      </c>
      <c r="N91" s="204">
        <v>-1</v>
      </c>
      <c r="O91" s="1" t="s">
        <v>161</v>
      </c>
      <c r="P91" s="204">
        <v>-0.97</v>
      </c>
      <c r="Q91" s="204">
        <v>-0.97</v>
      </c>
      <c r="R91" s="204">
        <v>-0.99</v>
      </c>
      <c r="S91" s="204">
        <v>-1</v>
      </c>
      <c r="T91" s="204">
        <v>-0.97</v>
      </c>
      <c r="U91" s="204">
        <v>-0.93</v>
      </c>
      <c r="V91" s="204">
        <v>-0.99</v>
      </c>
      <c r="W91" s="204">
        <v>-0.62</v>
      </c>
    </row>
    <row r="92" spans="1:23">
      <c r="A92" s="1" t="s">
        <v>50</v>
      </c>
      <c r="B92" s="1" t="s">
        <v>57</v>
      </c>
      <c r="C92" s="1" t="s">
        <v>146</v>
      </c>
      <c r="D92" s="1">
        <v>2025</v>
      </c>
      <c r="E92" s="1">
        <v>4405.9899826049896</v>
      </c>
      <c r="F92" s="1">
        <v>7191.1898269653402</v>
      </c>
      <c r="G92" s="1">
        <v>19289.2800292969</v>
      </c>
      <c r="H92" s="1">
        <v>14850</v>
      </c>
      <c r="I92" s="1">
        <v>25483.759765625</v>
      </c>
      <c r="J92" s="1">
        <v>12145.8399658203</v>
      </c>
      <c r="K92" s="1">
        <v>0</v>
      </c>
      <c r="L92" s="1">
        <v>40983</v>
      </c>
      <c r="M92" s="1">
        <v>20157.459838867198</v>
      </c>
      <c r="N92" s="1">
        <v>77739.340026855498</v>
      </c>
      <c r="O92" s="1">
        <v>0</v>
      </c>
      <c r="P92" s="1">
        <v>9139.0099487304706</v>
      </c>
      <c r="Q92" s="1">
        <v>3438.0499725341801</v>
      </c>
      <c r="R92" s="1">
        <v>8428.8899612426794</v>
      </c>
      <c r="S92" s="1">
        <v>29369.919998168902</v>
      </c>
      <c r="T92" s="1">
        <v>2758.2400207519499</v>
      </c>
      <c r="U92" s="1">
        <v>165.89999389648401</v>
      </c>
      <c r="V92" s="1">
        <v>5822.1099853515598</v>
      </c>
      <c r="W92" s="1">
        <v>20816.4499664307</v>
      </c>
    </row>
    <row r="93" spans="1:23">
      <c r="A93" s="1" t="s">
        <v>50</v>
      </c>
      <c r="B93" s="1" t="s">
        <v>57</v>
      </c>
      <c r="C93" s="1" t="s">
        <v>146</v>
      </c>
      <c r="D93" s="1">
        <v>2026</v>
      </c>
      <c r="E93" s="1">
        <v>987.55998992919899</v>
      </c>
      <c r="F93" s="1">
        <v>2269.1999816894499</v>
      </c>
      <c r="G93" s="1">
        <v>2282.6699829101599</v>
      </c>
      <c r="H93" s="1">
        <v>1057.5</v>
      </c>
      <c r="I93" s="1">
        <v>4172</v>
      </c>
      <c r="J93" s="1">
        <v>2457</v>
      </c>
      <c r="K93" s="1">
        <v>0</v>
      </c>
      <c r="L93" s="1">
        <v>8493</v>
      </c>
      <c r="M93" s="1">
        <v>3738.5400085449201</v>
      </c>
      <c r="N93" s="1">
        <v>14155.279907226601</v>
      </c>
      <c r="O93" s="1">
        <v>0</v>
      </c>
      <c r="P93" s="1">
        <v>2370.3400421142601</v>
      </c>
      <c r="Q93" s="1">
        <v>1099.99998474121</v>
      </c>
      <c r="R93" s="1">
        <v>602.85000324249302</v>
      </c>
      <c r="S93" s="1">
        <v>4260</v>
      </c>
      <c r="T93" s="1">
        <v>526.08000183105503</v>
      </c>
      <c r="U93" s="1">
        <v>90.5</v>
      </c>
      <c r="V93" s="1">
        <v>1131.25</v>
      </c>
      <c r="W93" s="1">
        <v>7117.2600936889603</v>
      </c>
    </row>
    <row r="94" spans="1:23">
      <c r="A94" s="1" t="s">
        <v>50</v>
      </c>
      <c r="B94" s="1" t="s">
        <v>57</v>
      </c>
      <c r="C94" s="1" t="s">
        <v>146</v>
      </c>
      <c r="D94" s="1" t="s">
        <v>15</v>
      </c>
      <c r="E94" s="204">
        <v>-0.78</v>
      </c>
      <c r="F94" s="204">
        <v>-0.68</v>
      </c>
      <c r="G94" s="204">
        <v>-0.88</v>
      </c>
      <c r="H94" s="204">
        <v>-0.93</v>
      </c>
      <c r="I94" s="204">
        <v>-0.84</v>
      </c>
      <c r="J94" s="204">
        <v>-0.8</v>
      </c>
      <c r="K94" s="1" t="s">
        <v>161</v>
      </c>
      <c r="L94" s="204">
        <v>-0.79</v>
      </c>
      <c r="M94" s="204">
        <v>-0.81</v>
      </c>
      <c r="N94" s="204">
        <v>-0.82</v>
      </c>
      <c r="O94" s="1" t="s">
        <v>161</v>
      </c>
      <c r="P94" s="204">
        <v>-0.74</v>
      </c>
      <c r="Q94" s="204">
        <v>-0.68</v>
      </c>
      <c r="R94" s="204">
        <v>-0.93</v>
      </c>
      <c r="S94" s="204">
        <v>-0.85</v>
      </c>
      <c r="T94" s="204">
        <v>-0.81</v>
      </c>
      <c r="U94" s="204">
        <v>-0.45</v>
      </c>
      <c r="V94" s="204">
        <v>-0.81</v>
      </c>
      <c r="W94" s="204">
        <v>-0.66</v>
      </c>
    </row>
    <row r="95" spans="1:23">
      <c r="A95" s="1" t="s">
        <v>50</v>
      </c>
      <c r="B95" s="1" t="s">
        <v>58</v>
      </c>
      <c r="C95" s="1" t="s">
        <v>160</v>
      </c>
      <c r="D95" s="1">
        <v>2025</v>
      </c>
      <c r="E95" s="1">
        <v>6479.2698669433603</v>
      </c>
      <c r="F95" s="1">
        <v>14899.660022735599</v>
      </c>
      <c r="G95" s="1">
        <v>27315.7001953125</v>
      </c>
      <c r="H95" s="1">
        <v>18150</v>
      </c>
      <c r="I95" s="1">
        <v>37216.669921875</v>
      </c>
      <c r="J95" s="1">
        <v>14177.5</v>
      </c>
      <c r="K95" s="1">
        <v>0</v>
      </c>
      <c r="L95" s="1">
        <v>58591.25</v>
      </c>
      <c r="M95" s="1">
        <v>43452.069824218801</v>
      </c>
      <c r="N95" s="1">
        <v>88475.470031738194</v>
      </c>
      <c r="O95" s="1">
        <v>0</v>
      </c>
      <c r="P95" s="1">
        <v>11747.6600036621</v>
      </c>
      <c r="Q95" s="1">
        <v>5067.5801048278799</v>
      </c>
      <c r="R95" s="1">
        <v>10772.189758300799</v>
      </c>
      <c r="S95" s="1">
        <v>39068</v>
      </c>
      <c r="T95" s="1">
        <v>5432.9000854492197</v>
      </c>
      <c r="U95" s="1">
        <v>1206.6700057983401</v>
      </c>
      <c r="V95" s="1">
        <v>13627.720214843799</v>
      </c>
      <c r="W95" s="1">
        <v>35942.759721756003</v>
      </c>
    </row>
    <row r="96" spans="1:23">
      <c r="A96" s="1" t="s">
        <v>50</v>
      </c>
      <c r="B96" s="1" t="s">
        <v>58</v>
      </c>
      <c r="C96" s="1" t="s">
        <v>160</v>
      </c>
      <c r="D96" s="1">
        <v>2026</v>
      </c>
      <c r="E96" s="1">
        <v>1140.96998977661</v>
      </c>
      <c r="F96" s="1">
        <v>3630.7200317382799</v>
      </c>
      <c r="G96" s="1">
        <v>4682.6600189208903</v>
      </c>
      <c r="H96" s="1">
        <v>2350</v>
      </c>
      <c r="I96" s="1">
        <v>7599</v>
      </c>
      <c r="J96" s="1">
        <v>3822</v>
      </c>
      <c r="K96" s="1">
        <v>0</v>
      </c>
      <c r="L96" s="1">
        <v>11461.75</v>
      </c>
      <c r="M96" s="1">
        <v>8664.2000732421893</v>
      </c>
      <c r="N96" s="1">
        <v>17001.430130004901</v>
      </c>
      <c r="O96" s="1">
        <v>0</v>
      </c>
      <c r="P96" s="1">
        <v>2669.3300170898401</v>
      </c>
      <c r="Q96" s="1">
        <v>938.66000366210903</v>
      </c>
      <c r="R96" s="1">
        <v>1831.37000083923</v>
      </c>
      <c r="S96" s="1">
        <v>5961.9200000762903</v>
      </c>
      <c r="T96" s="1">
        <v>398.25</v>
      </c>
      <c r="U96" s="1">
        <v>203.629999160767</v>
      </c>
      <c r="V96" s="1">
        <v>2006.09997558594</v>
      </c>
      <c r="W96" s="1">
        <v>5632.2899322509702</v>
      </c>
    </row>
    <row r="97" spans="1:23">
      <c r="A97" s="1" t="s">
        <v>50</v>
      </c>
      <c r="B97" s="1" t="s">
        <v>58</v>
      </c>
      <c r="C97" s="1" t="s">
        <v>160</v>
      </c>
      <c r="D97" s="1" t="s">
        <v>15</v>
      </c>
      <c r="E97" s="204">
        <v>-0.82</v>
      </c>
      <c r="F97" s="204">
        <v>-0.76</v>
      </c>
      <c r="G97" s="204">
        <v>-0.83</v>
      </c>
      <c r="H97" s="204">
        <v>-0.87</v>
      </c>
      <c r="I97" s="204">
        <v>-0.8</v>
      </c>
      <c r="J97" s="204">
        <v>-0.73</v>
      </c>
      <c r="K97" s="1" t="s">
        <v>161</v>
      </c>
      <c r="L97" s="204">
        <v>-0.8</v>
      </c>
      <c r="M97" s="204">
        <v>-0.8</v>
      </c>
      <c r="N97" s="204">
        <v>-0.81</v>
      </c>
      <c r="O97" s="1" t="s">
        <v>161</v>
      </c>
      <c r="P97" s="204">
        <v>-0.77</v>
      </c>
      <c r="Q97" s="204">
        <v>-0.81</v>
      </c>
      <c r="R97" s="204">
        <v>-0.83</v>
      </c>
      <c r="S97" s="204">
        <v>-0.85</v>
      </c>
      <c r="T97" s="204">
        <v>-0.93</v>
      </c>
      <c r="U97" s="204">
        <v>-0.83</v>
      </c>
      <c r="V97" s="204">
        <v>-0.85</v>
      </c>
      <c r="W97" s="204">
        <v>-0.84</v>
      </c>
    </row>
    <row r="98" spans="1:23">
      <c r="A98" s="1" t="s">
        <v>50</v>
      </c>
      <c r="B98" s="1" t="s">
        <v>59</v>
      </c>
      <c r="C98" s="1" t="s">
        <v>59</v>
      </c>
      <c r="D98" s="1">
        <v>2025</v>
      </c>
      <c r="E98" s="1">
        <v>24318.139849662799</v>
      </c>
      <c r="F98" s="1">
        <v>45148.849849701</v>
      </c>
      <c r="G98" s="1">
        <v>50715.950224399603</v>
      </c>
      <c r="H98" s="1">
        <v>78844.160003662095</v>
      </c>
      <c r="I98" s="1">
        <v>66469.279685974107</v>
      </c>
      <c r="J98" s="1">
        <v>27375.439964294401</v>
      </c>
      <c r="K98" s="1">
        <v>0</v>
      </c>
      <c r="L98" s="1">
        <v>346895.229999542</v>
      </c>
      <c r="M98" s="1">
        <v>231397.71966362</v>
      </c>
      <c r="N98" s="1">
        <v>439441.15193176299</v>
      </c>
      <c r="O98" s="1">
        <v>0</v>
      </c>
      <c r="P98" s="1">
        <v>44806.2500305176</v>
      </c>
      <c r="Q98" s="1">
        <v>25212.630077362101</v>
      </c>
      <c r="R98" s="1">
        <v>54041.079719543501</v>
      </c>
      <c r="S98" s="1">
        <v>211304.919998169</v>
      </c>
      <c r="T98" s="1">
        <v>12223.140106201199</v>
      </c>
      <c r="U98" s="1">
        <v>2662.5699996948201</v>
      </c>
      <c r="V98" s="1">
        <v>46076.860473632798</v>
      </c>
      <c r="W98" s="1">
        <v>59113.319673538201</v>
      </c>
    </row>
    <row r="99" spans="1:23">
      <c r="A99" s="1" t="s">
        <v>50</v>
      </c>
      <c r="B99" s="1" t="s">
        <v>59</v>
      </c>
      <c r="C99" s="1" t="s">
        <v>59</v>
      </c>
      <c r="D99" s="1">
        <v>2026</v>
      </c>
      <c r="E99" s="1">
        <v>2179.3099813461299</v>
      </c>
      <c r="F99" s="1">
        <v>6404.3400268554697</v>
      </c>
      <c r="G99" s="1">
        <v>7217.4900054931604</v>
      </c>
      <c r="H99" s="1">
        <v>3522.6500015258798</v>
      </c>
      <c r="I99" s="1">
        <v>12201.020004272499</v>
      </c>
      <c r="J99" s="1">
        <v>6412.77000427246</v>
      </c>
      <c r="K99" s="1">
        <v>0</v>
      </c>
      <c r="L99" s="1">
        <v>20780.730010986299</v>
      </c>
      <c r="M99" s="1">
        <v>13222.300079345699</v>
      </c>
      <c r="N99" s="1">
        <v>32428.370010375998</v>
      </c>
      <c r="O99" s="1">
        <v>0</v>
      </c>
      <c r="P99" s="1">
        <v>5652.2300567626899</v>
      </c>
      <c r="Q99" s="1">
        <v>2471.2200012206999</v>
      </c>
      <c r="R99" s="1">
        <v>2770.0199918746998</v>
      </c>
      <c r="S99" s="1">
        <v>10745.550004959099</v>
      </c>
      <c r="T99" s="1">
        <v>1041.15000152588</v>
      </c>
      <c r="U99" s="1">
        <v>383.28000068664602</v>
      </c>
      <c r="V99" s="1">
        <v>3374.45997619629</v>
      </c>
      <c r="W99" s="1">
        <v>13651.4200363159</v>
      </c>
    </row>
    <row r="100" spans="1:23">
      <c r="A100" s="1" t="s">
        <v>50</v>
      </c>
      <c r="B100" s="1" t="s">
        <v>59</v>
      </c>
      <c r="C100" s="1" t="s">
        <v>59</v>
      </c>
      <c r="D100" s="1" t="s">
        <v>15</v>
      </c>
      <c r="E100" s="204">
        <v>-0.91</v>
      </c>
      <c r="F100" s="204">
        <v>-0.86</v>
      </c>
      <c r="G100" s="204">
        <v>-0.86</v>
      </c>
      <c r="H100" s="204">
        <v>-0.96</v>
      </c>
      <c r="I100" s="204">
        <v>-0.82</v>
      </c>
      <c r="J100" s="204">
        <v>-0.77</v>
      </c>
      <c r="K100" s="1" t="s">
        <v>161</v>
      </c>
      <c r="L100" s="204">
        <v>-0.94</v>
      </c>
      <c r="M100" s="204">
        <v>-0.94</v>
      </c>
      <c r="N100" s="204">
        <v>-0.93</v>
      </c>
      <c r="O100" s="1" t="s">
        <v>161</v>
      </c>
      <c r="P100" s="204">
        <v>-0.87</v>
      </c>
      <c r="Q100" s="204">
        <v>-0.9</v>
      </c>
      <c r="R100" s="204">
        <v>-0.95</v>
      </c>
      <c r="S100" s="204">
        <v>-0.95</v>
      </c>
      <c r="T100" s="204">
        <v>-0.91</v>
      </c>
      <c r="U100" s="204">
        <v>-0.86</v>
      </c>
      <c r="V100" s="204">
        <v>-0.93</v>
      </c>
      <c r="W100" s="204">
        <v>-0.77</v>
      </c>
    </row>
  </sheetData>
  <mergeCells count="8">
    <mergeCell ref="W6:W7"/>
    <mergeCell ref="S1:X2"/>
    <mergeCell ref="A5:B5"/>
    <mergeCell ref="E5:F5"/>
    <mergeCell ref="G5:K5"/>
    <mergeCell ref="L5:O5"/>
    <mergeCell ref="P5:R5"/>
    <mergeCell ref="T5:V5"/>
  </mergeCells>
  <printOptions horizontalCentered="1"/>
  <pageMargins left="0" right="0" top="0.19685039370078741" bottom="0" header="0.51181102362204722" footer="0.51181102362204722"/>
  <pageSetup paperSize="9" scale="75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tabSelected="1" zoomScale="75" workbookViewId="0">
      <pane xSplit="3" ySplit="7" topLeftCell="D8" activePane="bottomRight" state="frozenSplit"/>
      <selection activeCell="N158" sqref="N158"/>
      <selection pane="topRight" activeCell="N158" sqref="N158"/>
      <selection pane="bottomLeft" activeCell="N158" sqref="N158"/>
      <selection pane="bottomRight" activeCell="A8" sqref="A8:AD100"/>
    </sheetView>
  </sheetViews>
  <sheetFormatPr baseColWidth="10" defaultRowHeight="12.75"/>
  <cols>
    <col min="1" max="1" width="23.5703125" style="1" customWidth="1"/>
    <col min="2" max="2" width="25.7109375" style="1" customWidth="1"/>
    <col min="3" max="3" width="31.7109375" style="1" bestFit="1" customWidth="1"/>
    <col min="4" max="4" width="5.85546875" style="1" bestFit="1" customWidth="1"/>
    <col min="5" max="5" width="9.140625" style="1" customWidth="1"/>
    <col min="6" max="6" width="8" style="1" customWidth="1"/>
    <col min="7" max="7" width="7.7109375" style="1" customWidth="1"/>
    <col min="8" max="8" width="8.42578125" style="1" customWidth="1"/>
    <col min="9" max="9" width="9.85546875" style="1" customWidth="1"/>
    <col min="10" max="10" width="7.85546875" style="1" customWidth="1"/>
    <col min="11" max="11" width="8.140625" style="1" customWidth="1"/>
    <col min="12" max="12" width="8" style="1" customWidth="1"/>
    <col min="13" max="13" width="8.5703125" style="1" customWidth="1"/>
    <col min="14" max="14" width="8.85546875" style="1" customWidth="1"/>
    <col min="15" max="15" width="7.28515625" style="1" customWidth="1"/>
    <col min="16" max="16" width="7.7109375" style="1" customWidth="1"/>
    <col min="17" max="17" width="8" style="1" customWidth="1"/>
    <col min="18" max="18" width="7.85546875" style="1" customWidth="1"/>
    <col min="19" max="19" width="8.28515625" style="1" customWidth="1"/>
    <col min="20" max="20" width="8.7109375" style="1" customWidth="1"/>
    <col min="21" max="21" width="7.85546875" style="1" customWidth="1"/>
    <col min="22" max="22" width="8" style="1" customWidth="1"/>
    <col min="23" max="23" width="7.85546875" style="1" customWidth="1"/>
    <col min="24" max="24" width="10" style="1" hidden="1" customWidth="1"/>
    <col min="25" max="16384" width="11.42578125" style="1"/>
  </cols>
  <sheetData>
    <row r="1" spans="1:24" s="3" customFormat="1">
      <c r="A1" s="5" t="s">
        <v>0</v>
      </c>
      <c r="B1" s="6"/>
      <c r="C1" s="2"/>
      <c r="D1" s="2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228">
        <f ca="1">+TODAY()</f>
        <v>46179</v>
      </c>
      <c r="T1" s="228"/>
      <c r="U1" s="228"/>
      <c r="V1" s="228"/>
      <c r="W1" s="228"/>
      <c r="X1" s="228"/>
    </row>
    <row r="2" spans="1:24" s="3" customFormat="1" ht="18.75">
      <c r="A2" s="8" t="s">
        <v>4</v>
      </c>
      <c r="B2" s="6"/>
      <c r="C2" s="2"/>
      <c r="D2" s="2"/>
      <c r="E2" s="7"/>
      <c r="F2" s="7"/>
      <c r="G2" s="7"/>
      <c r="H2" s="9" t="s">
        <v>116</v>
      </c>
      <c r="I2" s="7"/>
      <c r="J2" s="7"/>
      <c r="K2" s="7"/>
      <c r="L2" s="7"/>
      <c r="M2" s="7"/>
      <c r="N2" s="7"/>
      <c r="O2" s="7"/>
      <c r="P2" s="7"/>
      <c r="Q2" s="7"/>
      <c r="R2" s="7"/>
      <c r="S2" s="228"/>
      <c r="T2" s="228"/>
      <c r="U2" s="228"/>
      <c r="V2" s="228"/>
      <c r="W2" s="228"/>
      <c r="X2" s="228"/>
    </row>
    <row r="3" spans="1:24" s="3" customFormat="1" ht="14.25" customHeight="1">
      <c r="A3" s="10"/>
      <c r="B3" s="6"/>
      <c r="C3" s="2"/>
      <c r="D3" s="2"/>
      <c r="E3" s="7"/>
      <c r="F3" s="7"/>
      <c r="G3" s="11"/>
      <c r="H3" s="11"/>
      <c r="I3" s="7"/>
      <c r="J3" s="17" t="s">
        <v>216</v>
      </c>
      <c r="K3" s="17"/>
      <c r="L3" s="11"/>
      <c r="M3" s="11"/>
      <c r="N3" s="7"/>
      <c r="O3" s="7"/>
      <c r="P3" s="7"/>
      <c r="Q3" s="7"/>
      <c r="R3" s="12"/>
      <c r="S3" s="12"/>
      <c r="T3" s="7"/>
      <c r="U3" s="7"/>
      <c r="V3" s="7"/>
      <c r="W3" s="7"/>
    </row>
    <row r="4" spans="1:24" ht="13.5" thickBot="1">
      <c r="A4" s="13"/>
      <c r="B4" s="14"/>
      <c r="C4" s="4"/>
      <c r="D4" s="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4" s="19" customFormat="1" ht="15.75">
      <c r="A5" s="229"/>
      <c r="B5" s="229"/>
      <c r="C5" s="4"/>
      <c r="D5" s="4"/>
      <c r="E5" s="230" t="s">
        <v>5</v>
      </c>
      <c r="F5" s="231"/>
      <c r="G5" s="230" t="s">
        <v>6</v>
      </c>
      <c r="H5" s="232"/>
      <c r="I5" s="232"/>
      <c r="J5" s="232"/>
      <c r="K5" s="232"/>
      <c r="L5" s="233" t="s">
        <v>7</v>
      </c>
      <c r="M5" s="234"/>
      <c r="N5" s="234"/>
      <c r="O5" s="234"/>
      <c r="P5" s="230" t="s">
        <v>8</v>
      </c>
      <c r="Q5" s="232"/>
      <c r="R5" s="231"/>
      <c r="S5" s="21" t="s">
        <v>10</v>
      </c>
      <c r="T5" s="230" t="s">
        <v>9</v>
      </c>
      <c r="U5" s="232"/>
      <c r="V5" s="231"/>
      <c r="W5" s="21" t="s">
        <v>16</v>
      </c>
      <c r="X5" s="18"/>
    </row>
    <row r="6" spans="1:24" s="19" customFormat="1" ht="13.5" thickBot="1">
      <c r="A6" s="13"/>
      <c r="B6" s="14"/>
      <c r="C6" s="4"/>
      <c r="D6" s="4"/>
      <c r="E6" s="22">
        <v>20</v>
      </c>
      <c r="F6" s="23">
        <v>50</v>
      </c>
      <c r="G6" s="24" t="s">
        <v>11</v>
      </c>
      <c r="H6" s="24" t="s">
        <v>12</v>
      </c>
      <c r="I6" s="24" t="s">
        <v>13</v>
      </c>
      <c r="J6" s="24" t="s">
        <v>14</v>
      </c>
      <c r="K6" s="25" t="s">
        <v>17</v>
      </c>
      <c r="L6" s="26">
        <v>10.5</v>
      </c>
      <c r="M6" s="27">
        <v>21</v>
      </c>
      <c r="N6" s="27" t="s">
        <v>18</v>
      </c>
      <c r="O6" s="28" t="s">
        <v>19</v>
      </c>
      <c r="P6" s="22">
        <v>10.5</v>
      </c>
      <c r="Q6" s="27">
        <v>21</v>
      </c>
      <c r="R6" s="23" t="s">
        <v>18</v>
      </c>
      <c r="S6" s="23" t="s">
        <v>18</v>
      </c>
      <c r="T6" s="22">
        <v>10.5</v>
      </c>
      <c r="U6" s="28">
        <v>21</v>
      </c>
      <c r="V6" s="23">
        <v>170</v>
      </c>
      <c r="W6" s="226" t="s">
        <v>20</v>
      </c>
      <c r="X6" s="16" t="s">
        <v>3</v>
      </c>
    </row>
    <row r="7" spans="1:24" s="19" customFormat="1" ht="14.25" customHeight="1" thickBot="1">
      <c r="A7" s="38" t="s">
        <v>25</v>
      </c>
      <c r="B7" s="39" t="s">
        <v>1</v>
      </c>
      <c r="C7" s="39" t="s">
        <v>2</v>
      </c>
      <c r="D7" s="39" t="s">
        <v>26</v>
      </c>
      <c r="E7" s="29">
        <v>501101</v>
      </c>
      <c r="F7" s="30">
        <v>501102</v>
      </c>
      <c r="G7" s="31">
        <v>502102</v>
      </c>
      <c r="H7" s="31">
        <v>502103</v>
      </c>
      <c r="I7" s="31">
        <v>502118</v>
      </c>
      <c r="J7" s="31">
        <v>502119</v>
      </c>
      <c r="K7" s="32" t="s">
        <v>24</v>
      </c>
      <c r="L7" s="33">
        <v>503101</v>
      </c>
      <c r="M7" s="34">
        <v>503102</v>
      </c>
      <c r="N7" s="34" t="s">
        <v>21</v>
      </c>
      <c r="O7" s="35">
        <v>503133</v>
      </c>
      <c r="P7" s="29">
        <v>503201</v>
      </c>
      <c r="Q7" s="31">
        <v>503202</v>
      </c>
      <c r="R7" s="30" t="s">
        <v>22</v>
      </c>
      <c r="S7" s="36" t="s">
        <v>23</v>
      </c>
      <c r="T7" s="29">
        <v>503301</v>
      </c>
      <c r="U7" s="37">
        <v>503302</v>
      </c>
      <c r="V7" s="30">
        <v>503303</v>
      </c>
      <c r="W7" s="227"/>
      <c r="X7" s="20"/>
    </row>
    <row r="8" spans="1:24">
      <c r="A8" s="1" t="s">
        <v>50</v>
      </c>
      <c r="B8" s="1" t="s">
        <v>51</v>
      </c>
      <c r="C8" s="1" t="s">
        <v>56</v>
      </c>
      <c r="D8" s="1">
        <v>2025</v>
      </c>
      <c r="E8" s="1">
        <v>36533.349609375</v>
      </c>
      <c r="F8" s="1">
        <v>75894</v>
      </c>
      <c r="G8" s="1">
        <v>60064.5</v>
      </c>
      <c r="H8" s="1">
        <v>7245</v>
      </c>
      <c r="I8" s="1">
        <v>289606.48828125</v>
      </c>
      <c r="J8" s="1">
        <v>76983</v>
      </c>
      <c r="L8" s="1">
        <v>1458003.5</v>
      </c>
      <c r="M8" s="1">
        <v>684343.76708984398</v>
      </c>
      <c r="N8" s="1">
        <v>2652379.609375</v>
      </c>
      <c r="P8" s="1">
        <v>239586.203125</v>
      </c>
      <c r="Q8" s="1">
        <v>108406.30004882799</v>
      </c>
      <c r="R8" s="1">
        <v>352544.294921875</v>
      </c>
      <c r="S8" s="1">
        <v>1376119.2153320301</v>
      </c>
      <c r="T8" s="1">
        <v>38189.330078125</v>
      </c>
      <c r="U8" s="1">
        <v>14397.8299560547</v>
      </c>
      <c r="V8" s="1">
        <v>132419.140869141</v>
      </c>
      <c r="W8" s="1">
        <v>5300.5799255371103</v>
      </c>
    </row>
    <row r="9" spans="1:24">
      <c r="A9" s="1" t="s">
        <v>50</v>
      </c>
      <c r="B9" s="1" t="s">
        <v>51</v>
      </c>
      <c r="C9" s="1" t="s">
        <v>56</v>
      </c>
      <c r="D9" s="1">
        <v>2026</v>
      </c>
      <c r="E9" s="1">
        <v>9500</v>
      </c>
      <c r="F9" s="1">
        <v>48253.330078125</v>
      </c>
      <c r="G9" s="1">
        <v>20458</v>
      </c>
      <c r="H9" s="1">
        <v>13462.5</v>
      </c>
      <c r="I9" s="1">
        <v>51522.330078125</v>
      </c>
      <c r="J9" s="1">
        <v>16098.3299560547</v>
      </c>
      <c r="L9" s="1">
        <v>1195834.5</v>
      </c>
      <c r="M9" s="1">
        <v>495686.46240234398</v>
      </c>
      <c r="N9" s="1">
        <v>2155614.0116577102</v>
      </c>
      <c r="P9" s="1">
        <v>191338.328125</v>
      </c>
      <c r="Q9" s="1">
        <v>83756.5</v>
      </c>
      <c r="R9" s="1">
        <v>221982.294921875</v>
      </c>
      <c r="S9" s="1">
        <v>1031402.4453125</v>
      </c>
      <c r="T9" s="1">
        <v>26408.66015625</v>
      </c>
      <c r="U9" s="1">
        <v>8463.8200073242206</v>
      </c>
      <c r="V9" s="1">
        <v>95024.259765625</v>
      </c>
      <c r="W9" s="1">
        <v>18059.3203125</v>
      </c>
    </row>
    <row r="10" spans="1:24">
      <c r="A10" s="1" t="s">
        <v>50</v>
      </c>
      <c r="B10" s="1" t="s">
        <v>51</v>
      </c>
      <c r="C10" s="1" t="s">
        <v>56</v>
      </c>
      <c r="D10" s="1" t="s">
        <v>15</v>
      </c>
      <c r="E10" s="204">
        <v>-0.74</v>
      </c>
      <c r="F10" s="204">
        <v>-0.36</v>
      </c>
      <c r="G10" s="204">
        <v>-0.66</v>
      </c>
      <c r="H10" s="204">
        <v>0.86</v>
      </c>
      <c r="I10" s="204">
        <v>-0.82</v>
      </c>
      <c r="J10" s="204">
        <v>-0.79</v>
      </c>
      <c r="K10" s="1" t="s">
        <v>161</v>
      </c>
      <c r="L10" s="204">
        <v>-0.18</v>
      </c>
      <c r="M10" s="204">
        <v>-0.28000000000000003</v>
      </c>
      <c r="N10" s="204">
        <v>-0.19</v>
      </c>
      <c r="O10" s="1" t="s">
        <v>161</v>
      </c>
      <c r="P10" s="204">
        <v>-0.2</v>
      </c>
      <c r="Q10" s="204">
        <v>-0.23</v>
      </c>
      <c r="R10" s="204">
        <v>-0.37</v>
      </c>
      <c r="S10" s="204">
        <v>-0.25</v>
      </c>
      <c r="T10" s="204">
        <v>-0.31</v>
      </c>
      <c r="U10" s="204">
        <v>-0.41</v>
      </c>
      <c r="V10" s="204">
        <v>-0.28000000000000003</v>
      </c>
      <c r="W10" s="204">
        <v>2.41</v>
      </c>
    </row>
    <row r="11" spans="1:24">
      <c r="A11" s="1" t="s">
        <v>50</v>
      </c>
      <c r="B11" s="1" t="s">
        <v>52</v>
      </c>
      <c r="C11" s="1" t="s">
        <v>53</v>
      </c>
      <c r="D11" s="1">
        <v>2025</v>
      </c>
      <c r="E11" s="1">
        <v>0</v>
      </c>
      <c r="L11" s="1">
        <v>37260</v>
      </c>
      <c r="M11" s="1">
        <v>19360</v>
      </c>
      <c r="N11" s="1">
        <v>97375</v>
      </c>
      <c r="P11" s="1">
        <v>10000</v>
      </c>
      <c r="Q11" s="1">
        <v>6300</v>
      </c>
      <c r="R11" s="1">
        <v>9750</v>
      </c>
      <c r="S11" s="1">
        <v>22065</v>
      </c>
    </row>
    <row r="12" spans="1:24">
      <c r="A12" s="1" t="s">
        <v>50</v>
      </c>
      <c r="B12" s="1" t="s">
        <v>52</v>
      </c>
      <c r="C12" s="1" t="s">
        <v>53</v>
      </c>
      <c r="D12" s="1">
        <v>2026</v>
      </c>
      <c r="F12" s="1">
        <v>1120</v>
      </c>
      <c r="G12" s="1">
        <v>1140</v>
      </c>
      <c r="H12" s="1">
        <v>1050</v>
      </c>
      <c r="I12" s="1">
        <v>1420</v>
      </c>
      <c r="J12" s="1">
        <v>2600</v>
      </c>
      <c r="L12" s="1">
        <v>106654.5</v>
      </c>
      <c r="M12" s="1">
        <v>48744.671875</v>
      </c>
      <c r="N12" s="1">
        <v>60277.33984375</v>
      </c>
      <c r="P12" s="1">
        <v>34900</v>
      </c>
      <c r="Q12" s="1">
        <v>11288</v>
      </c>
      <c r="R12" s="1">
        <v>9247.330078125</v>
      </c>
      <c r="S12" s="1">
        <v>26189.399902343801</v>
      </c>
      <c r="T12" s="1">
        <v>5968.6600341796902</v>
      </c>
      <c r="U12" s="1">
        <v>401.32998657226602</v>
      </c>
      <c r="V12" s="1">
        <v>8341.9899902343805</v>
      </c>
    </row>
    <row r="13" spans="1:24">
      <c r="A13" s="1" t="s">
        <v>50</v>
      </c>
      <c r="B13" s="1" t="s">
        <v>52</v>
      </c>
      <c r="C13" s="1" t="s">
        <v>53</v>
      </c>
      <c r="D13" s="1" t="s">
        <v>15</v>
      </c>
      <c r="E13" s="204" t="s">
        <v>161</v>
      </c>
      <c r="F13" s="204" t="s">
        <v>161</v>
      </c>
      <c r="G13" s="204" t="s">
        <v>161</v>
      </c>
      <c r="H13" s="204" t="s">
        <v>161</v>
      </c>
      <c r="I13" s="204" t="s">
        <v>161</v>
      </c>
      <c r="J13" s="204" t="s">
        <v>161</v>
      </c>
      <c r="K13" s="1" t="s">
        <v>161</v>
      </c>
      <c r="L13" s="204">
        <v>1.86</v>
      </c>
      <c r="M13" s="204">
        <v>1.52</v>
      </c>
      <c r="N13" s="204">
        <v>-0.38</v>
      </c>
      <c r="O13" s="1" t="s">
        <v>161</v>
      </c>
      <c r="P13" s="204">
        <v>2.4900000000000002</v>
      </c>
      <c r="Q13" s="204">
        <v>0.79</v>
      </c>
      <c r="R13" s="204">
        <v>-0.05</v>
      </c>
      <c r="S13" s="204">
        <v>0.19</v>
      </c>
      <c r="T13" s="204" t="s">
        <v>161</v>
      </c>
      <c r="U13" s="204" t="s">
        <v>161</v>
      </c>
      <c r="V13" s="204" t="s">
        <v>161</v>
      </c>
      <c r="W13" s="1" t="s">
        <v>161</v>
      </c>
    </row>
    <row r="14" spans="1:24">
      <c r="A14" s="1" t="s">
        <v>50</v>
      </c>
      <c r="B14" s="1" t="s">
        <v>170</v>
      </c>
      <c r="C14" s="1" t="s">
        <v>54</v>
      </c>
      <c r="D14" s="1">
        <v>2025</v>
      </c>
      <c r="E14" s="1">
        <v>112080.19921875</v>
      </c>
      <c r="F14" s="1">
        <v>223215.328125</v>
      </c>
      <c r="G14" s="1">
        <v>6954</v>
      </c>
      <c r="H14" s="1">
        <v>1557.5</v>
      </c>
      <c r="I14" s="1">
        <v>116287</v>
      </c>
      <c r="J14" s="1">
        <v>38670</v>
      </c>
      <c r="L14" s="1">
        <v>926784</v>
      </c>
      <c r="M14" s="1">
        <v>676822.68359375</v>
      </c>
      <c r="N14" s="1">
        <v>1185945.015625</v>
      </c>
      <c r="P14" s="1">
        <v>110512.5</v>
      </c>
      <c r="Q14" s="1">
        <v>68166</v>
      </c>
      <c r="R14" s="1">
        <v>202107.4921875</v>
      </c>
      <c r="S14" s="1">
        <v>858212.25</v>
      </c>
      <c r="T14" s="1">
        <v>3877.9999542236301</v>
      </c>
      <c r="U14" s="1">
        <v>4421.8300170898401</v>
      </c>
      <c r="V14" s="1">
        <v>119340.109375</v>
      </c>
      <c r="W14" s="1">
        <v>8806.6396484375</v>
      </c>
    </row>
    <row r="15" spans="1:24">
      <c r="A15" s="1" t="s">
        <v>50</v>
      </c>
      <c r="B15" s="1" t="s">
        <v>170</v>
      </c>
      <c r="C15" s="1" t="s">
        <v>54</v>
      </c>
      <c r="D15" s="1">
        <v>2026</v>
      </c>
    </row>
    <row r="16" spans="1:24">
      <c r="A16" s="1" t="s">
        <v>50</v>
      </c>
      <c r="B16" s="1" t="s">
        <v>170</v>
      </c>
      <c r="C16" s="1" t="s">
        <v>54</v>
      </c>
      <c r="D16" s="1" t="s">
        <v>15</v>
      </c>
      <c r="E16" s="204">
        <v>-1</v>
      </c>
      <c r="F16" s="204">
        <v>-1</v>
      </c>
      <c r="G16" s="204">
        <v>-1</v>
      </c>
      <c r="H16" s="204">
        <v>-1</v>
      </c>
      <c r="I16" s="204">
        <v>-1</v>
      </c>
      <c r="J16" s="204">
        <v>-1</v>
      </c>
      <c r="K16" s="1" t="s">
        <v>161</v>
      </c>
      <c r="L16" s="204">
        <v>-1</v>
      </c>
      <c r="M16" s="204">
        <v>-1</v>
      </c>
      <c r="N16" s="204">
        <v>-1</v>
      </c>
      <c r="O16" s="1" t="s">
        <v>161</v>
      </c>
      <c r="P16" s="204">
        <v>-1</v>
      </c>
      <c r="Q16" s="204">
        <v>-1</v>
      </c>
      <c r="R16" s="204">
        <v>-1</v>
      </c>
      <c r="S16" s="204">
        <v>-1</v>
      </c>
      <c r="T16" s="204">
        <v>-1</v>
      </c>
      <c r="U16" s="204">
        <v>-1</v>
      </c>
      <c r="V16" s="204">
        <v>-1</v>
      </c>
      <c r="W16" s="204">
        <v>-1</v>
      </c>
    </row>
    <row r="17" spans="1:23">
      <c r="A17" s="1" t="s">
        <v>50</v>
      </c>
      <c r="B17" s="1" t="s">
        <v>173</v>
      </c>
      <c r="C17" s="1" t="s">
        <v>163</v>
      </c>
      <c r="D17" s="1">
        <v>2025</v>
      </c>
    </row>
    <row r="18" spans="1:23">
      <c r="A18" s="1" t="s">
        <v>50</v>
      </c>
      <c r="B18" s="1" t="s">
        <v>173</v>
      </c>
      <c r="C18" s="1" t="s">
        <v>115</v>
      </c>
      <c r="D18" s="1">
        <v>2026</v>
      </c>
      <c r="E18" s="1">
        <v>92895.421875</v>
      </c>
      <c r="F18" s="1">
        <v>176040.849609375</v>
      </c>
      <c r="G18" s="1">
        <v>16631.8300170898</v>
      </c>
      <c r="H18" s="1">
        <v>12405</v>
      </c>
      <c r="I18" s="1">
        <v>49830.170013427698</v>
      </c>
      <c r="J18" s="1">
        <v>24028.330078125</v>
      </c>
      <c r="L18" s="1">
        <v>754731</v>
      </c>
      <c r="M18" s="1">
        <v>521231.33984375</v>
      </c>
      <c r="N18" s="1">
        <v>1101738.6287841799</v>
      </c>
      <c r="P18" s="1">
        <v>118999.966796875</v>
      </c>
      <c r="Q18" s="1">
        <v>56798.5</v>
      </c>
      <c r="R18" s="1">
        <v>242789.25</v>
      </c>
      <c r="S18" s="1">
        <v>856825.81640625</v>
      </c>
      <c r="T18" s="1">
        <v>4437.9899902343795</v>
      </c>
      <c r="U18" s="1">
        <v>5460.9999237060501</v>
      </c>
      <c r="V18" s="1">
        <v>140738.95703125</v>
      </c>
      <c r="W18" s="1">
        <v>21666.2399902344</v>
      </c>
    </row>
    <row r="19" spans="1:23">
      <c r="A19" s="1" t="s">
        <v>50</v>
      </c>
      <c r="B19" s="1" t="s">
        <v>173</v>
      </c>
      <c r="C19" s="1" t="s">
        <v>115</v>
      </c>
      <c r="D19" s="1" t="s">
        <v>15</v>
      </c>
      <c r="E19" s="204" t="s">
        <v>161</v>
      </c>
      <c r="F19" s="204" t="s">
        <v>161</v>
      </c>
      <c r="G19" s="204" t="s">
        <v>161</v>
      </c>
      <c r="H19" s="204" t="s">
        <v>161</v>
      </c>
      <c r="I19" s="204" t="s">
        <v>161</v>
      </c>
      <c r="J19" s="204" t="s">
        <v>161</v>
      </c>
      <c r="K19" s="1" t="s">
        <v>161</v>
      </c>
      <c r="L19" s="204" t="s">
        <v>161</v>
      </c>
      <c r="M19" s="204" t="s">
        <v>161</v>
      </c>
      <c r="N19" s="204" t="s">
        <v>161</v>
      </c>
      <c r="O19" s="1" t="s">
        <v>161</v>
      </c>
      <c r="P19" s="204" t="s">
        <v>161</v>
      </c>
      <c r="Q19" s="204" t="s">
        <v>161</v>
      </c>
      <c r="R19" s="204" t="s">
        <v>161</v>
      </c>
      <c r="S19" s="204" t="s">
        <v>161</v>
      </c>
      <c r="T19" s="204" t="s">
        <v>161</v>
      </c>
      <c r="U19" s="204" t="s">
        <v>161</v>
      </c>
      <c r="V19" s="204" t="s">
        <v>161</v>
      </c>
      <c r="W19" s="204" t="s">
        <v>161</v>
      </c>
    </row>
    <row r="20" spans="1:23">
      <c r="A20" s="1" t="s">
        <v>50</v>
      </c>
      <c r="B20" s="1" t="s">
        <v>171</v>
      </c>
      <c r="C20" s="1" t="s">
        <v>163</v>
      </c>
      <c r="D20" s="1">
        <v>2025</v>
      </c>
    </row>
    <row r="21" spans="1:23">
      <c r="A21" s="1" t="s">
        <v>50</v>
      </c>
      <c r="B21" s="1" t="s">
        <v>171</v>
      </c>
      <c r="C21" s="1" t="s">
        <v>172</v>
      </c>
      <c r="D21" s="1">
        <v>2026</v>
      </c>
      <c r="E21" s="1">
        <v>1422.04001426697</v>
      </c>
      <c r="F21" s="1">
        <v>6027.9301338195801</v>
      </c>
      <c r="G21" s="1">
        <v>3189.3599853515602</v>
      </c>
      <c r="H21" s="1">
        <v>2884.5299987793001</v>
      </c>
      <c r="I21" s="1">
        <v>7224.8199157714798</v>
      </c>
      <c r="J21" s="1">
        <v>3732.3799743652298</v>
      </c>
      <c r="L21" s="1">
        <v>19201.329559326201</v>
      </c>
      <c r="M21" s="1">
        <v>14918.380187988299</v>
      </c>
      <c r="N21" s="1">
        <v>52533.859588623003</v>
      </c>
      <c r="P21" s="1">
        <v>7439.7599182128897</v>
      </c>
      <c r="Q21" s="1">
        <v>4975.31003570557</v>
      </c>
      <c r="R21" s="1">
        <v>12188.0300445557</v>
      </c>
      <c r="S21" s="1">
        <v>36569.8407592773</v>
      </c>
      <c r="T21" s="1">
        <v>2067.0999603271498</v>
      </c>
      <c r="U21" s="1">
        <v>977.79001617431595</v>
      </c>
      <c r="V21" s="1">
        <v>7950.1801147460901</v>
      </c>
      <c r="W21" s="1">
        <v>9133.0098876953107</v>
      </c>
    </row>
    <row r="22" spans="1:23">
      <c r="A22" s="1" t="s">
        <v>50</v>
      </c>
      <c r="B22" s="1" t="s">
        <v>171</v>
      </c>
      <c r="C22" s="1" t="s">
        <v>172</v>
      </c>
      <c r="D22" s="1" t="s">
        <v>15</v>
      </c>
      <c r="E22" s="204" t="s">
        <v>161</v>
      </c>
      <c r="F22" s="204" t="s">
        <v>161</v>
      </c>
      <c r="G22" s="204" t="s">
        <v>161</v>
      </c>
      <c r="H22" s="204" t="s">
        <v>161</v>
      </c>
      <c r="I22" s="204" t="s">
        <v>161</v>
      </c>
      <c r="J22" s="204" t="s">
        <v>161</v>
      </c>
      <c r="K22" s="1" t="s">
        <v>161</v>
      </c>
      <c r="L22" s="204" t="s">
        <v>161</v>
      </c>
      <c r="M22" s="204" t="s">
        <v>161</v>
      </c>
      <c r="N22" s="204" t="s">
        <v>161</v>
      </c>
      <c r="O22" s="1" t="s">
        <v>161</v>
      </c>
      <c r="P22" s="204" t="s">
        <v>161</v>
      </c>
      <c r="Q22" s="204" t="s">
        <v>161</v>
      </c>
      <c r="R22" s="204" t="s">
        <v>161</v>
      </c>
      <c r="S22" s="204" t="s">
        <v>161</v>
      </c>
      <c r="T22" s="204" t="s">
        <v>161</v>
      </c>
      <c r="U22" s="204" t="s">
        <v>161</v>
      </c>
      <c r="V22" s="204" t="s">
        <v>161</v>
      </c>
      <c r="W22" s="204" t="s">
        <v>161</v>
      </c>
    </row>
    <row r="23" spans="1:23">
      <c r="A23" s="1" t="s">
        <v>50</v>
      </c>
      <c r="B23" s="1" t="s">
        <v>192</v>
      </c>
      <c r="C23" s="1" t="s">
        <v>163</v>
      </c>
      <c r="D23" s="1">
        <v>2025</v>
      </c>
    </row>
    <row r="24" spans="1:23">
      <c r="A24" s="1" t="s">
        <v>50</v>
      </c>
      <c r="B24" s="1" t="s">
        <v>192</v>
      </c>
      <c r="C24" s="1" t="s">
        <v>193</v>
      </c>
      <c r="D24" s="1">
        <v>2026</v>
      </c>
      <c r="E24" s="1">
        <v>925.59999561309803</v>
      </c>
      <c r="F24" s="1">
        <v>3802.9399890899699</v>
      </c>
      <c r="G24" s="1">
        <v>3740.5299987793001</v>
      </c>
      <c r="H24" s="1">
        <v>3231.53000640869</v>
      </c>
      <c r="I24" s="1">
        <v>5426.3899993896503</v>
      </c>
      <c r="J24" s="1">
        <v>3372.9300384521498</v>
      </c>
      <c r="L24" s="1">
        <v>11213.9199523926</v>
      </c>
      <c r="M24" s="1">
        <v>10483.439880371099</v>
      </c>
      <c r="N24" s="1">
        <v>19176.279724121101</v>
      </c>
      <c r="P24" s="1">
        <v>3846.6400756835901</v>
      </c>
      <c r="Q24" s="1">
        <v>3373.7699737548801</v>
      </c>
      <c r="R24" s="1">
        <v>1624.94995117188</v>
      </c>
      <c r="S24" s="1">
        <v>12679.979949951199</v>
      </c>
      <c r="T24" s="1">
        <v>1041.00002288818</v>
      </c>
      <c r="U24" s="1">
        <v>359.75</v>
      </c>
      <c r="V24" s="1">
        <v>4653.5199127197302</v>
      </c>
      <c r="W24" s="1">
        <v>7112.43995666504</v>
      </c>
    </row>
    <row r="25" spans="1:23">
      <c r="A25" s="1" t="s">
        <v>50</v>
      </c>
      <c r="B25" s="1" t="s">
        <v>192</v>
      </c>
      <c r="C25" s="1" t="s">
        <v>193</v>
      </c>
      <c r="D25" s="1" t="s">
        <v>15</v>
      </c>
      <c r="E25" s="204" t="s">
        <v>161</v>
      </c>
      <c r="F25" s="204" t="s">
        <v>161</v>
      </c>
      <c r="G25" s="204" t="s">
        <v>161</v>
      </c>
      <c r="H25" s="204" t="s">
        <v>161</v>
      </c>
      <c r="I25" s="204" t="s">
        <v>161</v>
      </c>
      <c r="J25" s="204" t="s">
        <v>161</v>
      </c>
      <c r="K25" s="1" t="s">
        <v>161</v>
      </c>
      <c r="L25" s="204" t="s">
        <v>161</v>
      </c>
      <c r="M25" s="204" t="s">
        <v>161</v>
      </c>
      <c r="N25" s="204" t="s">
        <v>161</v>
      </c>
      <c r="O25" s="1" t="s">
        <v>161</v>
      </c>
      <c r="P25" s="204" t="s">
        <v>161</v>
      </c>
      <c r="Q25" s="204" t="s">
        <v>161</v>
      </c>
      <c r="R25" s="204" t="s">
        <v>161</v>
      </c>
      <c r="S25" s="204" t="s">
        <v>161</v>
      </c>
      <c r="T25" s="204" t="s">
        <v>161</v>
      </c>
      <c r="U25" s="204" t="s">
        <v>161</v>
      </c>
      <c r="V25" s="204" t="s">
        <v>161</v>
      </c>
      <c r="W25" s="204" t="s">
        <v>161</v>
      </c>
    </row>
    <row r="26" spans="1:23">
      <c r="A26" s="1" t="s">
        <v>50</v>
      </c>
      <c r="B26" s="1" t="s">
        <v>120</v>
      </c>
      <c r="C26" s="1" t="s">
        <v>120</v>
      </c>
      <c r="D26" s="1">
        <v>2025</v>
      </c>
      <c r="E26" s="1">
        <v>27.569999754428899</v>
      </c>
      <c r="F26" s="1">
        <v>39525.6192183495</v>
      </c>
      <c r="G26" s="1">
        <v>222.37000036239601</v>
      </c>
      <c r="H26" s="1">
        <v>71266.180004119902</v>
      </c>
      <c r="I26" s="1">
        <v>1088.1499786377001</v>
      </c>
      <c r="J26" s="1">
        <v>74926.399990081802</v>
      </c>
      <c r="L26" s="1">
        <v>1203.6600227356</v>
      </c>
      <c r="M26" s="1">
        <v>39025.320020675703</v>
      </c>
      <c r="N26" s="1">
        <v>2844.11000919342</v>
      </c>
      <c r="P26" s="1">
        <v>8807.5</v>
      </c>
      <c r="Q26" s="1">
        <v>4335.39000034332</v>
      </c>
      <c r="R26" s="1">
        <v>47.779998779296903</v>
      </c>
      <c r="S26" s="1">
        <v>1953</v>
      </c>
      <c r="T26" s="1">
        <v>3.4400000572204599</v>
      </c>
      <c r="U26" s="1">
        <v>10.560000419616699</v>
      </c>
      <c r="V26" s="1">
        <v>5883.4299993514996</v>
      </c>
      <c r="W26" s="1">
        <v>4179.7799911498996</v>
      </c>
    </row>
    <row r="27" spans="1:23">
      <c r="A27" s="1" t="s">
        <v>50</v>
      </c>
      <c r="B27" s="1" t="s">
        <v>120</v>
      </c>
      <c r="C27" s="1" t="s">
        <v>120</v>
      </c>
      <c r="D27" s="1">
        <v>2026</v>
      </c>
      <c r="E27" s="1">
        <v>1128.4099998474101</v>
      </c>
      <c r="F27" s="1">
        <v>24729.2998046875</v>
      </c>
      <c r="G27" s="1">
        <v>119.62000370025601</v>
      </c>
      <c r="H27" s="1">
        <v>372.16000366210898</v>
      </c>
      <c r="I27" s="1">
        <v>3057.3499984741202</v>
      </c>
      <c r="J27" s="1">
        <v>870.49999237060501</v>
      </c>
      <c r="L27" s="1">
        <v>80404.950000762896</v>
      </c>
      <c r="M27" s="1">
        <v>47517.059995651201</v>
      </c>
      <c r="N27" s="1">
        <v>93961.540016174302</v>
      </c>
      <c r="P27" s="1">
        <v>12309.639887809801</v>
      </c>
      <c r="Q27" s="1">
        <v>19161.530000686598</v>
      </c>
      <c r="R27" s="1">
        <v>42791.280002594001</v>
      </c>
      <c r="S27" s="1">
        <v>85419.5791015625</v>
      </c>
      <c r="T27" s="1">
        <v>1122.20995616913</v>
      </c>
      <c r="U27" s="1">
        <v>1622.5299510955799</v>
      </c>
      <c r="V27" s="1">
        <v>8432.1400022506696</v>
      </c>
      <c r="W27" s="1">
        <v>3872.7100982666002</v>
      </c>
    </row>
    <row r="28" spans="1:23">
      <c r="A28" s="1" t="s">
        <v>50</v>
      </c>
      <c r="B28" s="1" t="s">
        <v>120</v>
      </c>
      <c r="C28" s="1" t="s">
        <v>120</v>
      </c>
      <c r="D28" s="1" t="s">
        <v>15</v>
      </c>
      <c r="E28" s="204" t="s">
        <v>211</v>
      </c>
      <c r="F28" s="204">
        <v>-0.37</v>
      </c>
      <c r="G28" s="204">
        <v>-0.46</v>
      </c>
      <c r="H28" s="204">
        <v>-0.99</v>
      </c>
      <c r="I28" s="204">
        <v>1.81</v>
      </c>
      <c r="J28" s="204">
        <v>-0.99</v>
      </c>
      <c r="K28" s="1" t="s">
        <v>161</v>
      </c>
      <c r="L28" s="204" t="s">
        <v>203</v>
      </c>
      <c r="M28" s="204">
        <v>0.22</v>
      </c>
      <c r="N28" s="204" t="s">
        <v>204</v>
      </c>
      <c r="O28" s="1" t="s">
        <v>161</v>
      </c>
      <c r="P28" s="204">
        <v>0.4</v>
      </c>
      <c r="Q28" s="204">
        <v>3.42</v>
      </c>
      <c r="R28" s="204" t="s">
        <v>196</v>
      </c>
      <c r="S28" s="204" t="s">
        <v>205</v>
      </c>
      <c r="T28" s="204" t="s">
        <v>188</v>
      </c>
      <c r="U28" s="204" t="s">
        <v>199</v>
      </c>
      <c r="V28" s="204">
        <v>0.43</v>
      </c>
      <c r="W28" s="204">
        <v>-7.0000000000000007E-2</v>
      </c>
    </row>
    <row r="29" spans="1:23">
      <c r="A29" s="1" t="s">
        <v>50</v>
      </c>
      <c r="B29" s="1" t="s">
        <v>107</v>
      </c>
      <c r="C29" s="1" t="s">
        <v>153</v>
      </c>
      <c r="D29" s="1">
        <v>2025</v>
      </c>
      <c r="E29" s="1">
        <v>101.51999664306599</v>
      </c>
      <c r="F29" s="1">
        <v>113.459999084473</v>
      </c>
      <c r="H29" s="1">
        <v>110</v>
      </c>
      <c r="I29" s="1">
        <v>145</v>
      </c>
      <c r="J29" s="1">
        <v>132.5</v>
      </c>
      <c r="L29" s="1">
        <v>399</v>
      </c>
      <c r="M29" s="1">
        <v>185</v>
      </c>
      <c r="N29" s="1">
        <v>136</v>
      </c>
      <c r="P29" s="1">
        <v>104</v>
      </c>
      <c r="R29" s="1">
        <v>-102.379997253418</v>
      </c>
      <c r="S29" s="1">
        <v>150</v>
      </c>
    </row>
    <row r="30" spans="1:23">
      <c r="A30" s="1" t="s">
        <v>50</v>
      </c>
      <c r="B30" s="1" t="s">
        <v>107</v>
      </c>
      <c r="C30" s="1" t="s">
        <v>153</v>
      </c>
      <c r="D30" s="1">
        <v>2026</v>
      </c>
      <c r="E30" s="1">
        <v>126.89999580383299</v>
      </c>
      <c r="F30" s="1">
        <v>226.920001983643</v>
      </c>
      <c r="G30" s="1">
        <v>384</v>
      </c>
      <c r="H30" s="1">
        <v>117.5</v>
      </c>
      <c r="I30" s="1">
        <v>1043</v>
      </c>
      <c r="L30" s="1">
        <v>973.75</v>
      </c>
      <c r="M30" s="1">
        <v>431.710010528564</v>
      </c>
      <c r="N30" s="1">
        <v>1166.8099670410199</v>
      </c>
      <c r="P30" s="1">
        <v>104</v>
      </c>
      <c r="Q30" s="1">
        <v>366.66000366210898</v>
      </c>
      <c r="R30" s="1">
        <v>294.83999633789102</v>
      </c>
      <c r="S30" s="1">
        <v>944.39999389648403</v>
      </c>
      <c r="T30" s="1">
        <v>59</v>
      </c>
      <c r="V30" s="1">
        <v>113.11999893188499</v>
      </c>
      <c r="W30" s="1">
        <v>55.330001831054702</v>
      </c>
    </row>
    <row r="31" spans="1:23">
      <c r="A31" s="1" t="s">
        <v>50</v>
      </c>
      <c r="B31" s="1" t="s">
        <v>107</v>
      </c>
      <c r="C31" s="1" t="s">
        <v>153</v>
      </c>
      <c r="D31" s="1" t="s">
        <v>15</v>
      </c>
      <c r="E31" s="204">
        <v>0.25</v>
      </c>
      <c r="F31" s="204">
        <v>1</v>
      </c>
      <c r="G31" s="204" t="s">
        <v>161</v>
      </c>
      <c r="H31" s="204">
        <v>7.0000000000000007E-2</v>
      </c>
      <c r="I31" s="204">
        <v>6.19</v>
      </c>
      <c r="J31" s="204">
        <v>-1</v>
      </c>
      <c r="K31" s="1" t="s">
        <v>161</v>
      </c>
      <c r="L31" s="204">
        <v>1.44</v>
      </c>
      <c r="M31" s="204">
        <v>1.33</v>
      </c>
      <c r="N31" s="204">
        <v>7.58</v>
      </c>
      <c r="O31" s="1" t="s">
        <v>161</v>
      </c>
      <c r="P31" s="204">
        <v>0</v>
      </c>
      <c r="Q31" s="204" t="s">
        <v>161</v>
      </c>
      <c r="R31" s="204">
        <v>-3.88</v>
      </c>
      <c r="S31" s="204">
        <v>5.3</v>
      </c>
      <c r="T31" s="204" t="s">
        <v>161</v>
      </c>
      <c r="U31" s="204" t="s">
        <v>161</v>
      </c>
      <c r="V31" s="204" t="s">
        <v>161</v>
      </c>
      <c r="W31" s="204" t="s">
        <v>161</v>
      </c>
    </row>
    <row r="32" spans="1:23">
      <c r="A32" s="1" t="s">
        <v>50</v>
      </c>
      <c r="B32" s="1" t="s">
        <v>108</v>
      </c>
      <c r="C32" s="1" t="s">
        <v>142</v>
      </c>
      <c r="D32" s="1">
        <v>2025</v>
      </c>
      <c r="E32" s="1">
        <v>7105.1299438476599</v>
      </c>
      <c r="F32" s="1">
        <v>11778.7000732422</v>
      </c>
      <c r="G32" s="1">
        <v>33440.0703125</v>
      </c>
      <c r="H32" s="1">
        <v>2310</v>
      </c>
      <c r="I32" s="1">
        <v>37040.33984375</v>
      </c>
      <c r="J32" s="1">
        <v>9514.5</v>
      </c>
      <c r="L32" s="1">
        <v>46108.25</v>
      </c>
      <c r="M32" s="1">
        <v>23479.800170898401</v>
      </c>
      <c r="N32" s="1">
        <v>66486.729919433594</v>
      </c>
      <c r="P32" s="1">
        <v>11375.0401000977</v>
      </c>
      <c r="Q32" s="1">
        <v>3037.6000423431401</v>
      </c>
      <c r="R32" s="1">
        <v>6290.4398803710901</v>
      </c>
      <c r="S32" s="1">
        <v>33006.000013351397</v>
      </c>
      <c r="T32" s="1">
        <v>3107.2899169921898</v>
      </c>
      <c r="U32" s="1">
        <v>444.93999767303501</v>
      </c>
      <c r="V32" s="1">
        <v>8107.2400512695303</v>
      </c>
      <c r="W32" s="1">
        <v>20717.860015869101</v>
      </c>
    </row>
    <row r="33" spans="1:23">
      <c r="A33" s="1" t="s">
        <v>50</v>
      </c>
      <c r="B33" s="1" t="s">
        <v>108</v>
      </c>
      <c r="C33" s="1" t="s">
        <v>142</v>
      </c>
      <c r="D33" s="1">
        <v>2026</v>
      </c>
      <c r="E33" s="1">
        <v>6420.0099639892596</v>
      </c>
      <c r="F33" s="1">
        <v>11170.729919433599</v>
      </c>
      <c r="G33" s="1">
        <v>25413.4001464844</v>
      </c>
      <c r="H33" s="1">
        <v>6387.0899047851599</v>
      </c>
      <c r="I33" s="1">
        <v>27192.5</v>
      </c>
      <c r="J33" s="1">
        <v>7371</v>
      </c>
      <c r="L33" s="1">
        <v>50354.75</v>
      </c>
      <c r="M33" s="1">
        <v>19795.16015625</v>
      </c>
      <c r="N33" s="1">
        <v>94591.089721679702</v>
      </c>
      <c r="P33" s="1">
        <v>9732.7301788330096</v>
      </c>
      <c r="Q33" s="1">
        <v>1762.72999572754</v>
      </c>
      <c r="R33" s="1">
        <v>11499.119999885599</v>
      </c>
      <c r="S33" s="1">
        <v>45761.1486968994</v>
      </c>
      <c r="T33" s="1">
        <v>2586.1400146484398</v>
      </c>
      <c r="U33" s="1">
        <v>286.540001869202</v>
      </c>
      <c r="V33" s="1">
        <v>6877.9899444580096</v>
      </c>
      <c r="W33" s="1">
        <v>19648.179962158199</v>
      </c>
    </row>
    <row r="34" spans="1:23">
      <c r="A34" s="1" t="s">
        <v>50</v>
      </c>
      <c r="B34" s="1" t="s">
        <v>108</v>
      </c>
      <c r="C34" s="1" t="s">
        <v>142</v>
      </c>
      <c r="D34" s="1" t="s">
        <v>15</v>
      </c>
      <c r="E34" s="204">
        <v>-0.1</v>
      </c>
      <c r="F34" s="204">
        <v>-0.05</v>
      </c>
      <c r="G34" s="204">
        <v>-0.24</v>
      </c>
      <c r="H34" s="204">
        <v>1.76</v>
      </c>
      <c r="I34" s="204">
        <v>-0.27</v>
      </c>
      <c r="J34" s="204">
        <v>-0.23</v>
      </c>
      <c r="K34" s="1" t="s">
        <v>161</v>
      </c>
      <c r="L34" s="204">
        <v>0.09</v>
      </c>
      <c r="M34" s="204">
        <v>-0.16</v>
      </c>
      <c r="N34" s="204">
        <v>0.42</v>
      </c>
      <c r="O34" s="1" t="s">
        <v>161</v>
      </c>
      <c r="P34" s="204">
        <v>-0.14000000000000001</v>
      </c>
      <c r="Q34" s="204">
        <v>-0.42</v>
      </c>
      <c r="R34" s="204">
        <v>0.83</v>
      </c>
      <c r="S34" s="204">
        <v>0.39</v>
      </c>
      <c r="T34" s="204">
        <v>-0.17</v>
      </c>
      <c r="U34" s="204">
        <v>-0.36</v>
      </c>
      <c r="V34" s="204">
        <v>-0.15</v>
      </c>
      <c r="W34" s="204">
        <v>-0.05</v>
      </c>
    </row>
    <row r="35" spans="1:23">
      <c r="A35" s="1" t="s">
        <v>50</v>
      </c>
      <c r="B35" s="1" t="s">
        <v>109</v>
      </c>
      <c r="C35" s="1" t="s">
        <v>114</v>
      </c>
      <c r="D35" s="1">
        <v>2025</v>
      </c>
      <c r="E35" s="1">
        <v>76.139999389648395</v>
      </c>
      <c r="F35" s="1">
        <v>340.38000488281301</v>
      </c>
      <c r="L35" s="1">
        <v>1021.25</v>
      </c>
      <c r="M35" s="1">
        <v>555</v>
      </c>
      <c r="N35" s="1">
        <v>1348.67004394531</v>
      </c>
      <c r="P35" s="1">
        <v>307.67001342773398</v>
      </c>
      <c r="Q35" s="1">
        <v>528</v>
      </c>
      <c r="R35" s="1">
        <v>136.5</v>
      </c>
      <c r="S35" s="1">
        <v>780</v>
      </c>
      <c r="T35" s="1">
        <v>118</v>
      </c>
      <c r="V35" s="1">
        <v>226.25</v>
      </c>
    </row>
    <row r="36" spans="1:23">
      <c r="A36" s="1" t="s">
        <v>50</v>
      </c>
      <c r="B36" s="1" t="s">
        <v>109</v>
      </c>
      <c r="C36" s="1" t="s">
        <v>114</v>
      </c>
      <c r="D36" s="1">
        <v>2026</v>
      </c>
      <c r="E36" s="1">
        <v>6519.2801208496103</v>
      </c>
      <c r="F36" s="1">
        <v>13548.3098144531</v>
      </c>
      <c r="G36" s="1">
        <v>10896.9201049805</v>
      </c>
      <c r="H36" s="1">
        <v>5777.5</v>
      </c>
      <c r="I36" s="1">
        <v>17284</v>
      </c>
      <c r="J36" s="1">
        <v>6529.25</v>
      </c>
      <c r="L36" s="1">
        <v>55893.25</v>
      </c>
      <c r="M36" s="1">
        <v>28181.9296875</v>
      </c>
      <c r="N36" s="1">
        <v>51366.5995101929</v>
      </c>
      <c r="P36" s="1">
        <v>16965.009887695302</v>
      </c>
      <c r="Q36" s="1">
        <v>6139.4399871826199</v>
      </c>
      <c r="R36" s="1">
        <v>7745.5299224853497</v>
      </c>
      <c r="S36" s="1">
        <v>29883.860198974598</v>
      </c>
      <c r="T36" s="1">
        <v>2600.9100036621098</v>
      </c>
      <c r="U36" s="1">
        <v>656.10000610351597</v>
      </c>
      <c r="V36" s="1">
        <v>9064.830078125</v>
      </c>
      <c r="W36" s="1">
        <v>19175.089721679698</v>
      </c>
    </row>
    <row r="37" spans="1:23">
      <c r="A37" s="1" t="s">
        <v>50</v>
      </c>
      <c r="B37" s="1" t="s">
        <v>109</v>
      </c>
      <c r="C37" s="1" t="s">
        <v>114</v>
      </c>
      <c r="D37" s="1" t="s">
        <v>15</v>
      </c>
      <c r="E37" s="204" t="s">
        <v>229</v>
      </c>
      <c r="F37" s="204" t="s">
        <v>230</v>
      </c>
      <c r="G37" s="204" t="s">
        <v>161</v>
      </c>
      <c r="H37" s="204" t="s">
        <v>161</v>
      </c>
      <c r="I37" s="204" t="s">
        <v>161</v>
      </c>
      <c r="J37" s="204" t="s">
        <v>161</v>
      </c>
      <c r="K37" s="1" t="s">
        <v>161</v>
      </c>
      <c r="L37" s="204" t="s">
        <v>231</v>
      </c>
      <c r="M37" s="204" t="s">
        <v>232</v>
      </c>
      <c r="N37" s="204" t="s">
        <v>233</v>
      </c>
      <c r="O37" s="1" t="s">
        <v>161</v>
      </c>
      <c r="P37" s="204" t="s">
        <v>234</v>
      </c>
      <c r="Q37" s="204" t="s">
        <v>235</v>
      </c>
      <c r="R37" s="204" t="s">
        <v>236</v>
      </c>
      <c r="S37" s="204" t="s">
        <v>212</v>
      </c>
      <c r="T37" s="204" t="s">
        <v>237</v>
      </c>
      <c r="U37" s="204" t="s">
        <v>161</v>
      </c>
      <c r="V37" s="204" t="s">
        <v>238</v>
      </c>
      <c r="W37" s="204" t="s">
        <v>161</v>
      </c>
    </row>
    <row r="38" spans="1:23">
      <c r="A38" s="1" t="s">
        <v>50</v>
      </c>
      <c r="B38" s="1" t="s">
        <v>110</v>
      </c>
      <c r="C38" s="1" t="s">
        <v>158</v>
      </c>
      <c r="D38" s="1">
        <v>2025</v>
      </c>
      <c r="E38" s="1">
        <v>7963.5399780273401</v>
      </c>
      <c r="F38" s="1">
        <v>14791.289672851601</v>
      </c>
      <c r="G38" s="1">
        <v>25433.560546875</v>
      </c>
      <c r="H38" s="1">
        <v>10450</v>
      </c>
      <c r="I38" s="1">
        <v>40352.419921875</v>
      </c>
      <c r="J38" s="1">
        <v>19949.8400878906</v>
      </c>
      <c r="L38" s="1">
        <v>76850.25</v>
      </c>
      <c r="M38" s="1">
        <v>37940.680175781301</v>
      </c>
      <c r="N38" s="1">
        <v>97177.581359863296</v>
      </c>
      <c r="P38" s="1">
        <v>18923.7197265625</v>
      </c>
      <c r="Q38" s="1">
        <v>7295.6399154663104</v>
      </c>
      <c r="R38" s="1">
        <v>14336.470214843799</v>
      </c>
      <c r="S38" s="1">
        <v>52734.4600219727</v>
      </c>
      <c r="T38" s="1">
        <v>4931.3900146484402</v>
      </c>
      <c r="U38" s="1">
        <v>527.89999389648403</v>
      </c>
      <c r="V38" s="1">
        <v>11478.4196777344</v>
      </c>
      <c r="W38" s="1">
        <v>27545.680114746101</v>
      </c>
    </row>
    <row r="39" spans="1:23">
      <c r="A39" s="1" t="s">
        <v>50</v>
      </c>
      <c r="B39" s="1" t="s">
        <v>110</v>
      </c>
      <c r="C39" s="1" t="s">
        <v>158</v>
      </c>
      <c r="D39" s="1">
        <v>2026</v>
      </c>
      <c r="E39" s="1">
        <v>1116.71997070313</v>
      </c>
      <c r="F39" s="1">
        <v>2496.1201171875</v>
      </c>
      <c r="G39" s="1">
        <v>3664.65991210938</v>
      </c>
      <c r="H39" s="1">
        <v>1870</v>
      </c>
      <c r="I39" s="1">
        <v>5364</v>
      </c>
      <c r="J39" s="1">
        <v>1911</v>
      </c>
      <c r="L39" s="1">
        <v>11495</v>
      </c>
      <c r="M39" s="1">
        <v>4763.89013671875</v>
      </c>
      <c r="N39" s="1">
        <v>45008.181732177698</v>
      </c>
      <c r="P39" s="1">
        <v>3505.67993164063</v>
      </c>
      <c r="Q39" s="1">
        <v>952.71000480651901</v>
      </c>
      <c r="R39" s="1">
        <v>5901.89013671875</v>
      </c>
      <c r="S39" s="1">
        <v>28626.400390625</v>
      </c>
      <c r="T39" s="1">
        <v>757.15997314453102</v>
      </c>
      <c r="V39" s="1">
        <v>1787.39001464844</v>
      </c>
      <c r="W39" s="1">
        <v>1381.0599822997999</v>
      </c>
    </row>
    <row r="40" spans="1:23">
      <c r="A40" s="1" t="s">
        <v>50</v>
      </c>
      <c r="B40" s="1" t="s">
        <v>110</v>
      </c>
      <c r="C40" s="1" t="s">
        <v>158</v>
      </c>
      <c r="D40" s="1" t="s">
        <v>15</v>
      </c>
      <c r="E40" s="204">
        <v>-0.86</v>
      </c>
      <c r="F40" s="204">
        <v>-0.83</v>
      </c>
      <c r="G40" s="204">
        <v>-0.86</v>
      </c>
      <c r="H40" s="204">
        <v>-0.82</v>
      </c>
      <c r="I40" s="204">
        <v>-0.87</v>
      </c>
      <c r="J40" s="204">
        <v>-0.9</v>
      </c>
      <c r="K40" s="1" t="s">
        <v>161</v>
      </c>
      <c r="L40" s="204">
        <v>-0.85</v>
      </c>
      <c r="M40" s="204">
        <v>-0.87</v>
      </c>
      <c r="N40" s="204">
        <v>-0.54</v>
      </c>
      <c r="O40" s="1" t="s">
        <v>161</v>
      </c>
      <c r="P40" s="204">
        <v>-0.81</v>
      </c>
      <c r="Q40" s="204">
        <v>-0.87</v>
      </c>
      <c r="R40" s="204">
        <v>-0.59</v>
      </c>
      <c r="S40" s="204">
        <v>-0.46</v>
      </c>
      <c r="T40" s="204">
        <v>-0.85</v>
      </c>
      <c r="U40" s="204">
        <v>-1</v>
      </c>
      <c r="V40" s="204">
        <v>-0.84</v>
      </c>
      <c r="W40" s="204">
        <v>-0.95</v>
      </c>
    </row>
    <row r="41" spans="1:23">
      <c r="A41" s="1" t="s">
        <v>50</v>
      </c>
      <c r="B41" s="1" t="s">
        <v>136</v>
      </c>
      <c r="C41" s="1" t="s">
        <v>131</v>
      </c>
      <c r="D41" s="1">
        <v>2025</v>
      </c>
      <c r="E41" s="1">
        <v>2487.23997497559</v>
      </c>
      <c r="F41" s="1">
        <v>6864.3299560546902</v>
      </c>
      <c r="G41" s="1">
        <v>15037.0700683594</v>
      </c>
      <c r="H41" s="1">
        <v>5041.6700000762903</v>
      </c>
      <c r="I41" s="1">
        <v>22960.919921875</v>
      </c>
      <c r="J41" s="1">
        <v>13736.3299560547</v>
      </c>
      <c r="L41" s="1">
        <v>30623.25</v>
      </c>
      <c r="M41" s="1">
        <v>21106.1901855469</v>
      </c>
      <c r="N41" s="1">
        <v>69007.330078125</v>
      </c>
      <c r="P41" s="1">
        <v>9984</v>
      </c>
      <c r="Q41" s="1">
        <v>2594.97996520996</v>
      </c>
      <c r="R41" s="1">
        <v>11011.729858398399</v>
      </c>
      <c r="S41" s="1">
        <v>42870</v>
      </c>
      <c r="T41" s="1">
        <v>3367.9099426269499</v>
      </c>
      <c r="U41" s="1">
        <v>90.5</v>
      </c>
      <c r="V41" s="1">
        <v>7549.0599365234402</v>
      </c>
      <c r="W41" s="1">
        <v>12397.0001831055</v>
      </c>
    </row>
    <row r="42" spans="1:23">
      <c r="A42" s="1" t="s">
        <v>50</v>
      </c>
      <c r="B42" s="1" t="s">
        <v>136</v>
      </c>
      <c r="C42" s="1" t="s">
        <v>131</v>
      </c>
      <c r="D42" s="1">
        <v>2026</v>
      </c>
      <c r="E42" s="1">
        <v>2766.4199676513699</v>
      </c>
      <c r="F42" s="1">
        <v>6691.5999145507803</v>
      </c>
      <c r="G42" s="1">
        <v>12490.16015625</v>
      </c>
      <c r="H42" s="1">
        <v>11210.419921875</v>
      </c>
      <c r="I42" s="1">
        <v>18091.080078125</v>
      </c>
      <c r="J42" s="1">
        <v>12808.25</v>
      </c>
      <c r="L42" s="1">
        <v>32870</v>
      </c>
      <c r="M42" s="1">
        <v>16904.590209960901</v>
      </c>
      <c r="N42" s="1">
        <v>72189.017700195298</v>
      </c>
      <c r="P42" s="1">
        <v>13078.0196533203</v>
      </c>
      <c r="Q42" s="1">
        <v>4414.0200328826904</v>
      </c>
      <c r="R42" s="1">
        <v>17104.899597168001</v>
      </c>
      <c r="S42" s="1">
        <v>44939.519853591897</v>
      </c>
      <c r="T42" s="1">
        <v>5221.4900512695303</v>
      </c>
      <c r="U42" s="1">
        <v>75.390007972717299</v>
      </c>
      <c r="V42" s="1">
        <v>7843.2700805664099</v>
      </c>
      <c r="W42" s="1">
        <v>7363.5300903320303</v>
      </c>
    </row>
    <row r="43" spans="1:23">
      <c r="A43" s="1" t="s">
        <v>50</v>
      </c>
      <c r="B43" s="1" t="s">
        <v>136</v>
      </c>
      <c r="C43" s="1" t="s">
        <v>131</v>
      </c>
      <c r="D43" s="1" t="s">
        <v>15</v>
      </c>
      <c r="E43" s="204">
        <v>0.11</v>
      </c>
      <c r="F43" s="204">
        <v>-0.03</v>
      </c>
      <c r="G43" s="204">
        <v>-0.17</v>
      </c>
      <c r="H43" s="204">
        <v>1.22</v>
      </c>
      <c r="I43" s="204">
        <v>-0.21</v>
      </c>
      <c r="J43" s="204">
        <v>-7.0000000000000007E-2</v>
      </c>
      <c r="K43" s="1" t="s">
        <v>161</v>
      </c>
      <c r="L43" s="204">
        <v>7.0000000000000007E-2</v>
      </c>
      <c r="M43" s="204">
        <v>-0.2</v>
      </c>
      <c r="N43" s="204">
        <v>0.05</v>
      </c>
      <c r="O43" s="1" t="s">
        <v>161</v>
      </c>
      <c r="P43" s="204">
        <v>0.31</v>
      </c>
      <c r="Q43" s="204">
        <v>0.7</v>
      </c>
      <c r="R43" s="204">
        <v>0.55000000000000004</v>
      </c>
      <c r="S43" s="204">
        <v>0.05</v>
      </c>
      <c r="T43" s="204">
        <v>0.55000000000000004</v>
      </c>
      <c r="U43" s="204">
        <v>-0.17</v>
      </c>
      <c r="V43" s="204">
        <v>0.04</v>
      </c>
      <c r="W43" s="204">
        <v>-0.41</v>
      </c>
    </row>
    <row r="44" spans="1:23">
      <c r="A44" s="1" t="s">
        <v>50</v>
      </c>
      <c r="B44" s="1" t="s">
        <v>164</v>
      </c>
      <c r="C44" s="1" t="s">
        <v>137</v>
      </c>
      <c r="D44" s="1">
        <v>2025</v>
      </c>
      <c r="E44" s="1">
        <v>1005.06999969482</v>
      </c>
      <c r="F44" s="1">
        <v>1985.5499572753899</v>
      </c>
      <c r="G44" s="1">
        <v>13035.4399166107</v>
      </c>
      <c r="I44" s="1">
        <v>22650.919921875</v>
      </c>
      <c r="J44" s="1">
        <v>9280.5</v>
      </c>
      <c r="L44" s="1">
        <v>44246.25</v>
      </c>
      <c r="M44" s="1">
        <v>20604.4201660156</v>
      </c>
      <c r="N44" s="1">
        <v>129800.689453125</v>
      </c>
      <c r="P44" s="1">
        <v>9594.0201416015607</v>
      </c>
      <c r="Q44" s="1">
        <v>2346.6900024414099</v>
      </c>
      <c r="R44" s="1">
        <v>19667.390136718801</v>
      </c>
      <c r="S44" s="1">
        <v>59400</v>
      </c>
      <c r="T44" s="1">
        <v>1450.4100036621101</v>
      </c>
      <c r="V44" s="1">
        <v>12881.189880371099</v>
      </c>
      <c r="W44" s="1">
        <v>33505.460205078103</v>
      </c>
    </row>
    <row r="45" spans="1:23">
      <c r="A45" s="1" t="s">
        <v>50</v>
      </c>
      <c r="B45" s="1" t="s">
        <v>164</v>
      </c>
      <c r="C45" s="1" t="s">
        <v>137</v>
      </c>
      <c r="D45" s="1">
        <v>2026</v>
      </c>
      <c r="E45" s="1">
        <v>126.90000152587901</v>
      </c>
      <c r="F45" s="1">
        <v>283.64999389648398</v>
      </c>
      <c r="G45" s="1">
        <v>17132.740097045898</v>
      </c>
      <c r="H45" s="1">
        <v>12835.4099273682</v>
      </c>
      <c r="I45" s="1">
        <v>25615.580078125</v>
      </c>
      <c r="J45" s="1">
        <v>14469</v>
      </c>
      <c r="L45" s="1">
        <v>33953</v>
      </c>
      <c r="M45" s="1">
        <v>21182.500122070302</v>
      </c>
      <c r="N45" s="1">
        <v>152247.828125</v>
      </c>
      <c r="P45" s="1">
        <v>7873.6799316406295</v>
      </c>
      <c r="Q45" s="1">
        <v>1648.85997200012</v>
      </c>
      <c r="R45" s="1">
        <v>24858.859863281301</v>
      </c>
      <c r="S45" s="1">
        <v>80100.001953125</v>
      </c>
      <c r="T45" s="1">
        <v>2050.23997306824</v>
      </c>
      <c r="U45" s="1">
        <v>444.96000003814697</v>
      </c>
      <c r="V45" s="1">
        <v>14713.7897949219</v>
      </c>
      <c r="W45" s="1">
        <v>26792.220062255899</v>
      </c>
    </row>
    <row r="46" spans="1:23">
      <c r="A46" s="1" t="s">
        <v>50</v>
      </c>
      <c r="B46" s="1" t="s">
        <v>164</v>
      </c>
      <c r="C46" s="1" t="s">
        <v>137</v>
      </c>
      <c r="D46" s="1" t="s">
        <v>15</v>
      </c>
      <c r="E46" s="204">
        <v>-0.87</v>
      </c>
      <c r="F46" s="204">
        <v>-0.86</v>
      </c>
      <c r="G46" s="204">
        <v>0.31</v>
      </c>
      <c r="H46" s="204" t="s">
        <v>161</v>
      </c>
      <c r="I46" s="204">
        <v>0.13</v>
      </c>
      <c r="J46" s="204">
        <v>0.56000000000000005</v>
      </c>
      <c r="K46" s="1" t="s">
        <v>161</v>
      </c>
      <c r="L46" s="204">
        <v>-0.23</v>
      </c>
      <c r="M46" s="204">
        <v>0.03</v>
      </c>
      <c r="N46" s="204">
        <v>0.17</v>
      </c>
      <c r="O46" s="1" t="s">
        <v>161</v>
      </c>
      <c r="P46" s="204">
        <v>-0.18</v>
      </c>
      <c r="Q46" s="204">
        <v>-0.3</v>
      </c>
      <c r="R46" s="204">
        <v>0.26</v>
      </c>
      <c r="S46" s="204">
        <v>0.35</v>
      </c>
      <c r="T46" s="204">
        <v>0.41</v>
      </c>
      <c r="U46" s="204" t="s">
        <v>161</v>
      </c>
      <c r="V46" s="204">
        <v>0.14000000000000001</v>
      </c>
      <c r="W46" s="204">
        <v>-0.2</v>
      </c>
    </row>
    <row r="47" spans="1:23">
      <c r="A47" s="1" t="s">
        <v>50</v>
      </c>
      <c r="B47" s="1" t="s">
        <v>132</v>
      </c>
      <c r="C47" s="1" t="s">
        <v>144</v>
      </c>
      <c r="D47" s="1">
        <v>2025</v>
      </c>
      <c r="E47" s="1">
        <v>4559.75</v>
      </c>
      <c r="F47" s="1">
        <v>9757.56005859375</v>
      </c>
      <c r="G47" s="1">
        <v>9559.9902038574201</v>
      </c>
      <c r="H47" s="1">
        <v>1980</v>
      </c>
      <c r="I47" s="1">
        <v>14868.5</v>
      </c>
      <c r="J47" s="1">
        <v>10229.5</v>
      </c>
      <c r="L47" s="1">
        <v>27051.25</v>
      </c>
      <c r="M47" s="1">
        <v>19787.2800292969</v>
      </c>
      <c r="N47" s="1">
        <v>89206.0498046875</v>
      </c>
      <c r="P47" s="1">
        <v>8723.0198974609393</v>
      </c>
      <c r="Q47" s="1">
        <v>3744.4400177001999</v>
      </c>
      <c r="R47" s="1">
        <v>10522.6798706055</v>
      </c>
      <c r="S47" s="1">
        <v>41744.919998168902</v>
      </c>
      <c r="T47" s="1">
        <v>4100.47998046875</v>
      </c>
      <c r="U47" s="1">
        <v>203.61999511718801</v>
      </c>
      <c r="V47" s="1">
        <v>14306.569824218799</v>
      </c>
      <c r="W47" s="1">
        <v>18151.0400390625</v>
      </c>
    </row>
    <row r="48" spans="1:23">
      <c r="A48" s="1" t="s">
        <v>50</v>
      </c>
      <c r="B48" s="1" t="s">
        <v>132</v>
      </c>
      <c r="C48" s="1" t="s">
        <v>144</v>
      </c>
      <c r="D48" s="1">
        <v>2026</v>
      </c>
      <c r="E48" s="1">
        <v>4537.3900299072302</v>
      </c>
      <c r="F48" s="1">
        <v>11735.490020752</v>
      </c>
      <c r="G48" s="1">
        <v>6541.4200439453098</v>
      </c>
      <c r="H48" s="1">
        <v>6695</v>
      </c>
      <c r="I48" s="1">
        <v>10107.16015625</v>
      </c>
      <c r="J48" s="1">
        <v>4914</v>
      </c>
      <c r="L48" s="1">
        <v>28637.75</v>
      </c>
      <c r="M48" s="1">
        <v>17328.359863281301</v>
      </c>
      <c r="N48" s="1">
        <v>119982.32934570299</v>
      </c>
      <c r="P48" s="1">
        <v>8346.0302124023401</v>
      </c>
      <c r="Q48" s="1">
        <v>2037.33998298645</v>
      </c>
      <c r="R48" s="1">
        <v>16362.9600830078</v>
      </c>
      <c r="S48" s="1">
        <v>57566.8008117676</v>
      </c>
      <c r="T48" s="1">
        <v>4203.7399902343795</v>
      </c>
      <c r="U48" s="1">
        <v>324.29001617431601</v>
      </c>
      <c r="V48" s="1">
        <v>18756.139816284202</v>
      </c>
      <c r="W48" s="1">
        <v>20028.020233154301</v>
      </c>
    </row>
    <row r="49" spans="1:23">
      <c r="A49" s="1" t="s">
        <v>50</v>
      </c>
      <c r="B49" s="1" t="s">
        <v>132</v>
      </c>
      <c r="C49" s="1" t="s">
        <v>144</v>
      </c>
      <c r="D49" s="1" t="s">
        <v>15</v>
      </c>
      <c r="E49" s="204">
        <v>0</v>
      </c>
      <c r="F49" s="204">
        <v>0.2</v>
      </c>
      <c r="G49" s="204">
        <v>-0.32</v>
      </c>
      <c r="H49" s="204">
        <v>2.38</v>
      </c>
      <c r="I49" s="204">
        <v>-0.32</v>
      </c>
      <c r="J49" s="204">
        <v>-0.52</v>
      </c>
      <c r="K49" s="1" t="s">
        <v>161</v>
      </c>
      <c r="L49" s="204">
        <v>0.06</v>
      </c>
      <c r="M49" s="204">
        <v>-0.12</v>
      </c>
      <c r="N49" s="204">
        <v>0.35</v>
      </c>
      <c r="O49" s="1" t="s">
        <v>161</v>
      </c>
      <c r="P49" s="204">
        <v>-0.04</v>
      </c>
      <c r="Q49" s="204">
        <v>-0.46</v>
      </c>
      <c r="R49" s="204">
        <v>0.56000000000000005</v>
      </c>
      <c r="S49" s="204">
        <v>0.38</v>
      </c>
      <c r="T49" s="204">
        <v>0.03</v>
      </c>
      <c r="U49" s="204">
        <v>0.59</v>
      </c>
      <c r="V49" s="204">
        <v>0.31</v>
      </c>
      <c r="W49" s="204">
        <v>0.1</v>
      </c>
    </row>
    <row r="50" spans="1:23">
      <c r="A50" s="1" t="s">
        <v>50</v>
      </c>
      <c r="B50" s="1" t="s">
        <v>133</v>
      </c>
      <c r="C50" s="1" t="s">
        <v>165</v>
      </c>
      <c r="D50" s="1">
        <v>2025</v>
      </c>
      <c r="E50" s="1">
        <v>2537.9999542236301</v>
      </c>
      <c r="F50" s="1">
        <v>4424.93994140625</v>
      </c>
      <c r="G50" s="1">
        <v>10227.2000732422</v>
      </c>
      <c r="H50" s="1">
        <v>3960</v>
      </c>
      <c r="I50" s="1">
        <v>16940.5</v>
      </c>
      <c r="J50" s="1">
        <v>7041.8399658203098</v>
      </c>
      <c r="L50" s="1">
        <v>20049.75</v>
      </c>
      <c r="M50" s="1">
        <v>9820.4200439453107</v>
      </c>
      <c r="N50" s="1">
        <v>57719.2499389648</v>
      </c>
      <c r="P50" s="1">
        <v>4719.0100097656295</v>
      </c>
      <c r="Q50" s="1">
        <v>2031.3399963378899</v>
      </c>
      <c r="R50" s="1">
        <v>6699.8599853515598</v>
      </c>
      <c r="S50" s="1">
        <v>24390</v>
      </c>
      <c r="T50" s="1">
        <v>1327.50001525879</v>
      </c>
      <c r="U50" s="1">
        <v>135.75</v>
      </c>
      <c r="V50" s="1">
        <v>5000.1000366210901</v>
      </c>
      <c r="W50" s="1">
        <v>27835.829971313498</v>
      </c>
    </row>
    <row r="51" spans="1:23">
      <c r="A51" s="1" t="s">
        <v>50</v>
      </c>
      <c r="B51" s="1" t="s">
        <v>133</v>
      </c>
      <c r="C51" s="1" t="s">
        <v>165</v>
      </c>
      <c r="D51" s="1">
        <v>2026</v>
      </c>
      <c r="E51" s="1">
        <v>1979.63999938965</v>
      </c>
      <c r="F51" s="1">
        <v>4311.4800415039099</v>
      </c>
      <c r="G51" s="1">
        <v>8978.5401000976599</v>
      </c>
      <c r="H51" s="1">
        <v>4022.5</v>
      </c>
      <c r="I51" s="1">
        <v>13496.9100341797</v>
      </c>
      <c r="J51" s="1">
        <v>4732</v>
      </c>
      <c r="L51" s="1">
        <v>15266.5</v>
      </c>
      <c r="M51" s="1">
        <v>10067.0701904297</v>
      </c>
      <c r="N51" s="1">
        <v>64439.159194946304</v>
      </c>
      <c r="P51" s="1">
        <v>2972.6599884033199</v>
      </c>
      <c r="Q51" s="1">
        <v>1136.6900024414099</v>
      </c>
      <c r="R51" s="1">
        <v>6060.0899963378897</v>
      </c>
      <c r="S51" s="1">
        <v>28257.569900512699</v>
      </c>
      <c r="T51" s="1">
        <v>452.33000183105497</v>
      </c>
      <c r="U51" s="1">
        <v>30.170000076293899</v>
      </c>
      <c r="V51" s="1">
        <v>3009.1399841308598</v>
      </c>
      <c r="W51" s="1">
        <v>15325.769897460899</v>
      </c>
    </row>
    <row r="52" spans="1:23">
      <c r="A52" s="1" t="s">
        <v>50</v>
      </c>
      <c r="B52" s="1" t="s">
        <v>133</v>
      </c>
      <c r="C52" s="1" t="s">
        <v>165</v>
      </c>
      <c r="D52" s="1" t="s">
        <v>15</v>
      </c>
      <c r="E52" s="204">
        <v>-0.22</v>
      </c>
      <c r="F52" s="204">
        <v>-0.03</v>
      </c>
      <c r="G52" s="204">
        <v>-0.12</v>
      </c>
      <c r="H52" s="204">
        <v>0.02</v>
      </c>
      <c r="I52" s="204">
        <v>-0.2</v>
      </c>
      <c r="J52" s="204">
        <v>-0.33</v>
      </c>
      <c r="K52" s="1" t="s">
        <v>161</v>
      </c>
      <c r="L52" s="204">
        <v>-0.24</v>
      </c>
      <c r="M52" s="204">
        <v>0.03</v>
      </c>
      <c r="N52" s="204">
        <v>0.12</v>
      </c>
      <c r="O52" s="1" t="s">
        <v>161</v>
      </c>
      <c r="P52" s="204">
        <v>-0.37</v>
      </c>
      <c r="Q52" s="204">
        <v>-0.44</v>
      </c>
      <c r="R52" s="204">
        <v>-0.1</v>
      </c>
      <c r="S52" s="204">
        <v>0.16</v>
      </c>
      <c r="T52" s="204">
        <v>-0.66</v>
      </c>
      <c r="U52" s="204">
        <v>-0.78</v>
      </c>
      <c r="V52" s="204">
        <v>-0.4</v>
      </c>
      <c r="W52" s="204">
        <v>-0.45</v>
      </c>
    </row>
    <row r="53" spans="1:23">
      <c r="A53" s="1" t="s">
        <v>50</v>
      </c>
      <c r="B53" s="1" t="s">
        <v>147</v>
      </c>
      <c r="C53" s="1" t="s">
        <v>152</v>
      </c>
      <c r="D53" s="1">
        <v>2025</v>
      </c>
      <c r="E53" s="1">
        <v>126.899997711182</v>
      </c>
      <c r="F53" s="1">
        <v>283.65000152587902</v>
      </c>
      <c r="G53" s="1">
        <v>1195</v>
      </c>
      <c r="H53" s="1">
        <v>550</v>
      </c>
      <c r="I53" s="1">
        <v>1305</v>
      </c>
      <c r="J53" s="1">
        <v>265</v>
      </c>
      <c r="L53" s="1">
        <v>3073.25</v>
      </c>
      <c r="M53" s="1">
        <v>963.53999328613304</v>
      </c>
      <c r="N53" s="1">
        <v>5394.5699462890598</v>
      </c>
      <c r="P53" s="1">
        <v>723.67000007629395</v>
      </c>
      <c r="Q53" s="1">
        <v>176</v>
      </c>
      <c r="R53" s="1">
        <v>409.5</v>
      </c>
      <c r="S53" s="1">
        <v>2500</v>
      </c>
      <c r="T53" s="1">
        <v>236</v>
      </c>
      <c r="V53" s="1">
        <v>90.5</v>
      </c>
    </row>
    <row r="54" spans="1:23">
      <c r="A54" s="1" t="s">
        <v>50</v>
      </c>
      <c r="B54" s="1" t="s">
        <v>147</v>
      </c>
      <c r="C54" s="1" t="s">
        <v>152</v>
      </c>
      <c r="D54" s="1">
        <v>2026</v>
      </c>
      <c r="E54" s="1">
        <v>3477.0599632263202</v>
      </c>
      <c r="F54" s="1">
        <v>6750.8700256347702</v>
      </c>
      <c r="G54" s="1">
        <v>9228.9501647949201</v>
      </c>
      <c r="H54" s="1">
        <v>3208.7600402831999</v>
      </c>
      <c r="I54" s="1">
        <v>16948.75</v>
      </c>
      <c r="J54" s="1">
        <v>3958.5</v>
      </c>
      <c r="L54" s="1">
        <v>47495.25</v>
      </c>
      <c r="M54" s="1">
        <v>19779.5801086426</v>
      </c>
      <c r="N54" s="1">
        <v>73715.370483398394</v>
      </c>
      <c r="P54" s="1">
        <v>13598.009765625</v>
      </c>
      <c r="Q54" s="1">
        <v>2859.6500091552698</v>
      </c>
      <c r="R54" s="1">
        <v>6147.9598770141602</v>
      </c>
      <c r="S54" s="1">
        <v>33381.300201416001</v>
      </c>
      <c r="T54" s="1">
        <v>2974.5799865722702</v>
      </c>
      <c r="U54" s="1">
        <v>294.12999725341803</v>
      </c>
      <c r="V54" s="1">
        <v>4819.1500015258798</v>
      </c>
      <c r="W54" s="1">
        <v>6813.3498458862296</v>
      </c>
    </row>
    <row r="55" spans="1:23">
      <c r="A55" s="1" t="s">
        <v>50</v>
      </c>
      <c r="B55" s="1" t="s">
        <v>147</v>
      </c>
      <c r="C55" s="1" t="s">
        <v>152</v>
      </c>
      <c r="D55" s="1" t="s">
        <v>15</v>
      </c>
      <c r="E55" s="204" t="s">
        <v>239</v>
      </c>
      <c r="F55" s="204" t="s">
        <v>217</v>
      </c>
      <c r="G55" s="204">
        <v>6.72</v>
      </c>
      <c r="H55" s="204">
        <v>4.83</v>
      </c>
      <c r="I55" s="204" t="s">
        <v>240</v>
      </c>
      <c r="J55" s="204" t="s">
        <v>206</v>
      </c>
      <c r="K55" s="1" t="s">
        <v>161</v>
      </c>
      <c r="L55" s="204" t="s">
        <v>241</v>
      </c>
      <c r="M55" s="204" t="s">
        <v>242</v>
      </c>
      <c r="N55" s="204" t="s">
        <v>243</v>
      </c>
      <c r="O55" s="1" t="s">
        <v>161</v>
      </c>
      <c r="P55" s="204" t="s">
        <v>207</v>
      </c>
      <c r="Q55" s="204" t="s">
        <v>208</v>
      </c>
      <c r="R55" s="204" t="s">
        <v>244</v>
      </c>
      <c r="S55" s="204" t="s">
        <v>245</v>
      </c>
      <c r="T55" s="204" t="s">
        <v>218</v>
      </c>
      <c r="U55" s="204" t="s">
        <v>161</v>
      </c>
      <c r="V55" s="204" t="s">
        <v>219</v>
      </c>
      <c r="W55" s="204" t="s">
        <v>161</v>
      </c>
    </row>
    <row r="56" spans="1:23">
      <c r="A56" s="1" t="s">
        <v>50</v>
      </c>
      <c r="B56" s="1" t="s">
        <v>148</v>
      </c>
      <c r="C56" s="1" t="s">
        <v>159</v>
      </c>
      <c r="D56" s="1">
        <v>2025</v>
      </c>
      <c r="E56" s="1">
        <v>5685.1199340820303</v>
      </c>
      <c r="F56" s="1">
        <v>9071.7197875976599</v>
      </c>
      <c r="G56" s="1">
        <v>17825.4099121094</v>
      </c>
      <c r="H56" s="1">
        <v>4125.0199890136701</v>
      </c>
      <c r="I56" s="1">
        <v>33860.669921875</v>
      </c>
      <c r="J56" s="1">
        <v>11735</v>
      </c>
      <c r="L56" s="1">
        <v>84797</v>
      </c>
      <c r="M56" s="1">
        <v>32853.079589843801</v>
      </c>
      <c r="N56" s="1">
        <v>107319.599609375</v>
      </c>
      <c r="P56" s="1">
        <v>16414.720092773401</v>
      </c>
      <c r="Q56" s="1">
        <v>5619.1099853515598</v>
      </c>
      <c r="R56" s="1">
        <v>11595.5399951935</v>
      </c>
      <c r="S56" s="1">
        <v>52578.5</v>
      </c>
      <c r="T56" s="1">
        <v>3687.4900207519499</v>
      </c>
      <c r="U56" s="1">
        <v>610.86997795105003</v>
      </c>
      <c r="V56" s="1">
        <v>8725.6399536132794</v>
      </c>
      <c r="W56" s="1">
        <v>23186.509613037098</v>
      </c>
    </row>
    <row r="57" spans="1:23">
      <c r="A57" s="1" t="s">
        <v>50</v>
      </c>
      <c r="B57" s="1" t="s">
        <v>148</v>
      </c>
      <c r="C57" s="1" t="s">
        <v>190</v>
      </c>
      <c r="D57" s="1">
        <v>2026</v>
      </c>
      <c r="E57" s="1">
        <v>786.78002357482899</v>
      </c>
      <c r="F57" s="1">
        <v>1358.9800186157199</v>
      </c>
      <c r="G57" s="1">
        <v>1653.07995605469</v>
      </c>
      <c r="H57" s="1">
        <v>1100</v>
      </c>
      <c r="I57" s="1">
        <v>4321</v>
      </c>
      <c r="J57" s="1">
        <v>682.5</v>
      </c>
      <c r="L57" s="1">
        <v>12046</v>
      </c>
      <c r="M57" s="1">
        <v>5095.330078125</v>
      </c>
      <c r="N57" s="1">
        <v>31289.039138793902</v>
      </c>
      <c r="P57" s="1">
        <v>1776.67004394531</v>
      </c>
      <c r="Q57" s="1">
        <v>2075.3299560546898</v>
      </c>
      <c r="R57" s="1">
        <v>4387.08984375</v>
      </c>
      <c r="S57" s="1">
        <v>21882.400390625</v>
      </c>
      <c r="T57" s="1">
        <v>290.08000183105497</v>
      </c>
      <c r="U57" s="1">
        <v>-7.53999996185303</v>
      </c>
      <c r="V57" s="1">
        <v>1289.61999511719</v>
      </c>
      <c r="W57" s="1">
        <v>1362.45998382568</v>
      </c>
    </row>
    <row r="58" spans="1:23">
      <c r="A58" s="1" t="s">
        <v>50</v>
      </c>
      <c r="B58" s="1" t="s">
        <v>148</v>
      </c>
      <c r="C58" s="1" t="s">
        <v>190</v>
      </c>
      <c r="D58" s="1" t="s">
        <v>15</v>
      </c>
      <c r="E58" s="204">
        <v>-0.86</v>
      </c>
      <c r="F58" s="204">
        <v>-0.85</v>
      </c>
      <c r="G58" s="204">
        <v>-0.91</v>
      </c>
      <c r="H58" s="204">
        <v>-0.73</v>
      </c>
      <c r="I58" s="204">
        <v>-0.87</v>
      </c>
      <c r="J58" s="204">
        <v>-0.94</v>
      </c>
      <c r="K58" s="1" t="s">
        <v>161</v>
      </c>
      <c r="L58" s="204">
        <v>-0.86</v>
      </c>
      <c r="M58" s="204">
        <v>-0.84</v>
      </c>
      <c r="N58" s="204">
        <v>-0.71</v>
      </c>
      <c r="O58" s="1" t="s">
        <v>161</v>
      </c>
      <c r="P58" s="204">
        <v>-0.89</v>
      </c>
      <c r="Q58" s="204">
        <v>-0.63</v>
      </c>
      <c r="R58" s="204">
        <v>-0.62</v>
      </c>
      <c r="S58" s="204">
        <v>-0.57999999999999996</v>
      </c>
      <c r="T58" s="204">
        <v>-0.92</v>
      </c>
      <c r="U58" s="204">
        <v>-1.01</v>
      </c>
      <c r="V58" s="204">
        <v>-0.85</v>
      </c>
      <c r="W58" s="204">
        <v>-0.94</v>
      </c>
    </row>
    <row r="59" spans="1:23">
      <c r="A59" s="1" t="s">
        <v>50</v>
      </c>
      <c r="B59" s="1" t="s">
        <v>141</v>
      </c>
      <c r="C59" s="1" t="s">
        <v>174</v>
      </c>
      <c r="D59" s="1">
        <v>2025</v>
      </c>
      <c r="E59" s="1">
        <v>634.5</v>
      </c>
      <c r="F59" s="1">
        <v>1361.5199890136701</v>
      </c>
      <c r="G59" s="1">
        <v>956</v>
      </c>
      <c r="I59" s="1">
        <v>1553</v>
      </c>
      <c r="J59" s="1">
        <v>378</v>
      </c>
      <c r="L59" s="1">
        <v>6474.25</v>
      </c>
      <c r="M59" s="1">
        <v>4486.25</v>
      </c>
      <c r="N59" s="1">
        <v>5904.6499633789099</v>
      </c>
      <c r="P59" s="1">
        <v>1534</v>
      </c>
      <c r="Q59" s="1">
        <v>799.33999633789097</v>
      </c>
      <c r="R59" s="1">
        <v>1308.13000488281</v>
      </c>
      <c r="S59" s="1">
        <v>3610</v>
      </c>
      <c r="T59" s="1">
        <v>408.08000183105497</v>
      </c>
      <c r="U59" s="1">
        <v>271.5</v>
      </c>
      <c r="V59" s="1">
        <v>1576.2200164794899</v>
      </c>
      <c r="W59" s="1">
        <v>4686.1400756835901</v>
      </c>
    </row>
    <row r="60" spans="1:23">
      <c r="A60" s="1" t="s">
        <v>50</v>
      </c>
      <c r="B60" s="1" t="s">
        <v>141</v>
      </c>
      <c r="C60" s="1" t="s">
        <v>145</v>
      </c>
      <c r="D60" s="1">
        <v>2026</v>
      </c>
      <c r="E60" s="1">
        <v>253.799997329712</v>
      </c>
      <c r="F60" s="1">
        <v>567.30000305175804</v>
      </c>
      <c r="G60" s="1">
        <v>320</v>
      </c>
      <c r="I60" s="1">
        <v>894</v>
      </c>
      <c r="J60" s="1">
        <v>409.5</v>
      </c>
      <c r="L60" s="1">
        <v>2218.25</v>
      </c>
      <c r="M60" s="1">
        <v>1233.3299865722699</v>
      </c>
      <c r="N60" s="1">
        <v>3533.7300567626999</v>
      </c>
      <c r="P60" s="1">
        <v>511.33999633789102</v>
      </c>
      <c r="Q60" s="1">
        <v>132</v>
      </c>
      <c r="R60" s="1">
        <v>56.880001068115199</v>
      </c>
      <c r="S60" s="1">
        <v>1797.2000122070301</v>
      </c>
      <c r="T60" s="1">
        <v>177</v>
      </c>
      <c r="U60" s="205">
        <v>30.170000076293899</v>
      </c>
      <c r="V60" s="1">
        <v>407.25998783111601</v>
      </c>
      <c r="W60" s="1">
        <v>294.30999946594198</v>
      </c>
    </row>
    <row r="61" spans="1:23">
      <c r="A61" s="1" t="s">
        <v>50</v>
      </c>
      <c r="B61" s="1" t="s">
        <v>141</v>
      </c>
      <c r="C61" s="1" t="s">
        <v>145</v>
      </c>
      <c r="D61" s="1" t="s">
        <v>15</v>
      </c>
      <c r="E61" s="204">
        <v>-0.6</v>
      </c>
      <c r="F61" s="204">
        <v>-0.57999999999999996</v>
      </c>
      <c r="G61" s="204">
        <v>-0.67</v>
      </c>
      <c r="H61" s="204" t="s">
        <v>161</v>
      </c>
      <c r="I61" s="204">
        <v>-0.42</v>
      </c>
      <c r="J61" s="204">
        <v>0.08</v>
      </c>
      <c r="K61" s="1" t="s">
        <v>161</v>
      </c>
      <c r="L61" s="204">
        <v>-0.66</v>
      </c>
      <c r="M61" s="204">
        <v>-0.73</v>
      </c>
      <c r="N61" s="204">
        <v>-0.4</v>
      </c>
      <c r="O61" s="1" t="s">
        <v>161</v>
      </c>
      <c r="P61" s="204">
        <v>-0.67</v>
      </c>
      <c r="Q61" s="204">
        <v>-0.83</v>
      </c>
      <c r="R61" s="204">
        <v>-0.96</v>
      </c>
      <c r="S61" s="204">
        <v>-0.5</v>
      </c>
      <c r="T61" s="204">
        <v>-0.56999999999999995</v>
      </c>
      <c r="U61" s="204">
        <v>-0.89</v>
      </c>
      <c r="V61" s="204">
        <v>-0.74</v>
      </c>
      <c r="W61" s="204">
        <v>-0.94</v>
      </c>
    </row>
    <row r="62" spans="1:23">
      <c r="A62" s="1" t="s">
        <v>50</v>
      </c>
      <c r="B62" s="1" t="s">
        <v>138</v>
      </c>
      <c r="C62" s="1" t="s">
        <v>103</v>
      </c>
      <c r="D62" s="1">
        <v>2025</v>
      </c>
      <c r="E62" s="1">
        <v>9303.4000244140607</v>
      </c>
      <c r="F62" s="1">
        <v>21395.849609375</v>
      </c>
      <c r="G62" s="1">
        <v>29028.5202636719</v>
      </c>
      <c r="H62" s="1">
        <v>5500</v>
      </c>
      <c r="I62" s="1">
        <v>42803.33984375</v>
      </c>
      <c r="J62" s="1">
        <v>9648.5</v>
      </c>
      <c r="L62" s="1">
        <v>98562.5</v>
      </c>
      <c r="M62" s="1">
        <v>59693.30078125</v>
      </c>
      <c r="N62" s="1">
        <v>97668.371215820298</v>
      </c>
      <c r="P62" s="1">
        <v>22451.029785156301</v>
      </c>
      <c r="Q62" s="1">
        <v>8261.4298973083496</v>
      </c>
      <c r="R62" s="1">
        <v>9338.8199462890607</v>
      </c>
      <c r="S62" s="1">
        <v>56228.830001831098</v>
      </c>
      <c r="T62" s="1">
        <v>5899.9600219726599</v>
      </c>
      <c r="U62" s="1">
        <v>897.44998550415005</v>
      </c>
      <c r="V62" s="1">
        <v>20581.5402832031</v>
      </c>
      <c r="W62" s="1">
        <v>55134.299682617202</v>
      </c>
    </row>
    <row r="63" spans="1:23">
      <c r="A63" s="1" t="s">
        <v>50</v>
      </c>
      <c r="B63" s="1" t="s">
        <v>138</v>
      </c>
      <c r="C63" s="1" t="s">
        <v>103</v>
      </c>
      <c r="D63" s="1">
        <v>2026</v>
      </c>
      <c r="E63" s="1">
        <v>8952.3699722290003</v>
      </c>
      <c r="F63" s="1">
        <v>22674.220214843801</v>
      </c>
      <c r="G63" s="1">
        <v>16387.759933471702</v>
      </c>
      <c r="H63" s="1">
        <v>5722.4899902343795</v>
      </c>
      <c r="I63" s="1">
        <v>30544.98046875</v>
      </c>
      <c r="J63" s="1">
        <v>7371</v>
      </c>
      <c r="L63" s="1">
        <v>87585.25</v>
      </c>
      <c r="M63" s="1">
        <v>50196.859863281301</v>
      </c>
      <c r="N63" s="1">
        <v>90774.200119018598</v>
      </c>
      <c r="P63" s="1">
        <v>19534.7297363281</v>
      </c>
      <c r="Q63" s="1">
        <v>7395.4499664306604</v>
      </c>
      <c r="R63" s="1">
        <v>11034.8699188232</v>
      </c>
      <c r="S63" s="1">
        <v>56773.7998046875</v>
      </c>
      <c r="T63" s="1">
        <v>5319.8099822998001</v>
      </c>
      <c r="U63" s="1">
        <v>648.61998367309604</v>
      </c>
      <c r="V63" s="1">
        <v>18718.719909668001</v>
      </c>
      <c r="W63" s="1">
        <v>44476.909729003899</v>
      </c>
    </row>
    <row r="64" spans="1:23">
      <c r="A64" s="1" t="s">
        <v>50</v>
      </c>
      <c r="B64" s="1" t="s">
        <v>138</v>
      </c>
      <c r="C64" s="1" t="s">
        <v>103</v>
      </c>
      <c r="D64" s="1" t="s">
        <v>15</v>
      </c>
      <c r="E64" s="204">
        <v>-0.04</v>
      </c>
      <c r="F64" s="204">
        <v>0.06</v>
      </c>
      <c r="G64" s="204">
        <v>-0.44</v>
      </c>
      <c r="H64" s="204">
        <v>0.04</v>
      </c>
      <c r="I64" s="204">
        <v>-0.28999999999999998</v>
      </c>
      <c r="J64" s="204">
        <v>-0.24</v>
      </c>
      <c r="K64" s="1" t="s">
        <v>161</v>
      </c>
      <c r="L64" s="204">
        <v>-0.11</v>
      </c>
      <c r="M64" s="204">
        <v>-0.16</v>
      </c>
      <c r="N64" s="204">
        <v>-7.0000000000000007E-2</v>
      </c>
      <c r="O64" s="1" t="s">
        <v>161</v>
      </c>
      <c r="P64" s="204">
        <v>-0.13</v>
      </c>
      <c r="Q64" s="204">
        <v>-0.1</v>
      </c>
      <c r="R64" s="204">
        <v>0.18</v>
      </c>
      <c r="S64" s="204">
        <v>0.01</v>
      </c>
      <c r="T64" s="204">
        <v>-0.1</v>
      </c>
      <c r="U64" s="204">
        <v>-0.28000000000000003</v>
      </c>
      <c r="V64" s="204">
        <v>-0.09</v>
      </c>
      <c r="W64" s="204">
        <v>-0.19</v>
      </c>
    </row>
    <row r="65" spans="1:23">
      <c r="A65" s="1" t="s">
        <v>50</v>
      </c>
      <c r="B65" s="1" t="s">
        <v>139</v>
      </c>
      <c r="C65" s="1" t="s">
        <v>194</v>
      </c>
      <c r="D65" s="1">
        <v>2025</v>
      </c>
      <c r="E65" s="1">
        <v>8898.0799255371094</v>
      </c>
      <c r="F65" s="1">
        <v>20750.579589843801</v>
      </c>
      <c r="G65" s="1">
        <v>35421.7705078125</v>
      </c>
      <c r="H65" s="1">
        <v>5903.3400001525897</v>
      </c>
      <c r="I65" s="1">
        <v>56077.08984375</v>
      </c>
      <c r="J65" s="1">
        <v>15061.5</v>
      </c>
      <c r="L65" s="1">
        <v>82759.25</v>
      </c>
      <c r="M65" s="1">
        <v>56572.169921875</v>
      </c>
      <c r="N65" s="1">
        <v>124015.239990234</v>
      </c>
      <c r="P65" s="1">
        <v>20683.019958496101</v>
      </c>
      <c r="Q65" s="1">
        <v>10321.0899658203</v>
      </c>
      <c r="R65" s="1">
        <v>16300.769897460899</v>
      </c>
      <c r="S65" s="1">
        <v>80855.75</v>
      </c>
      <c r="T65" s="1">
        <v>7606.0699462890598</v>
      </c>
      <c r="U65" s="1">
        <v>1530.9700241088899</v>
      </c>
      <c r="V65" s="1">
        <v>22541.799926757802</v>
      </c>
      <c r="W65" s="1">
        <v>28414.9699401855</v>
      </c>
    </row>
    <row r="66" spans="1:23">
      <c r="A66" s="1" t="s">
        <v>50</v>
      </c>
      <c r="B66" s="1" t="s">
        <v>139</v>
      </c>
      <c r="C66" s="1" t="s">
        <v>169</v>
      </c>
      <c r="D66" s="1">
        <v>2026</v>
      </c>
      <c r="E66" s="1">
        <v>8532.7898559570294</v>
      </c>
      <c r="F66" s="1">
        <v>20631.929809570302</v>
      </c>
      <c r="G66" s="1">
        <v>22508.059997558601</v>
      </c>
      <c r="H66" s="1">
        <v>3787.5</v>
      </c>
      <c r="I66" s="1">
        <v>34468.649902343801</v>
      </c>
      <c r="J66" s="1">
        <v>6006</v>
      </c>
      <c r="L66" s="1">
        <v>67008.25</v>
      </c>
      <c r="M66" s="1">
        <v>41863.960205078103</v>
      </c>
      <c r="N66" s="1">
        <v>104563.720779419</v>
      </c>
      <c r="P66" s="1">
        <v>18828.359802246101</v>
      </c>
      <c r="Q66" s="1">
        <v>8171.0800170898401</v>
      </c>
      <c r="R66" s="1">
        <v>10797.979980468799</v>
      </c>
      <c r="S66" s="1">
        <v>60730</v>
      </c>
      <c r="T66" s="1">
        <v>6716.1499633789099</v>
      </c>
      <c r="U66" s="1">
        <v>1085.98999118805</v>
      </c>
      <c r="V66" s="1">
        <v>18492.270202636701</v>
      </c>
      <c r="W66" s="1">
        <v>13751.8301391602</v>
      </c>
    </row>
    <row r="67" spans="1:23">
      <c r="A67" s="1" t="s">
        <v>50</v>
      </c>
      <c r="B67" s="1" t="s">
        <v>139</v>
      </c>
      <c r="C67" s="1" t="s">
        <v>169</v>
      </c>
      <c r="D67" s="1" t="s">
        <v>15</v>
      </c>
      <c r="E67" s="204">
        <v>-0.04</v>
      </c>
      <c r="F67" s="204">
        <v>-0.01</v>
      </c>
      <c r="G67" s="204">
        <v>-0.36</v>
      </c>
      <c r="H67" s="204">
        <v>-0.36</v>
      </c>
      <c r="I67" s="204">
        <v>-0.39</v>
      </c>
      <c r="J67" s="204">
        <v>-0.6</v>
      </c>
      <c r="K67" s="1" t="s">
        <v>161</v>
      </c>
      <c r="L67" s="204">
        <v>-0.19</v>
      </c>
      <c r="M67" s="204">
        <v>-0.26</v>
      </c>
      <c r="N67" s="204">
        <v>-0.16</v>
      </c>
      <c r="O67" s="1" t="s">
        <v>161</v>
      </c>
      <c r="P67" s="204">
        <v>-0.09</v>
      </c>
      <c r="Q67" s="204">
        <v>-0.21</v>
      </c>
      <c r="R67" s="204">
        <v>-0.34</v>
      </c>
      <c r="S67" s="204">
        <v>-0.25</v>
      </c>
      <c r="T67" s="204">
        <v>-0.12</v>
      </c>
      <c r="U67" s="204">
        <v>-0.28999999999999998</v>
      </c>
      <c r="V67" s="204">
        <v>-0.18</v>
      </c>
      <c r="W67" s="204">
        <v>-0.52</v>
      </c>
    </row>
    <row r="68" spans="1:23">
      <c r="A68" s="1" t="s">
        <v>50</v>
      </c>
      <c r="B68" s="1" t="s">
        <v>140</v>
      </c>
      <c r="C68" s="1" t="s">
        <v>104</v>
      </c>
      <c r="D68" s="1">
        <v>2025</v>
      </c>
      <c r="E68" s="1">
        <v>76.139999389648395</v>
      </c>
      <c r="F68" s="1">
        <v>56.7299995422363</v>
      </c>
    </row>
    <row r="69" spans="1:23">
      <c r="A69" s="1" t="s">
        <v>50</v>
      </c>
      <c r="B69" s="1" t="s">
        <v>140</v>
      </c>
      <c r="C69" s="1" t="s">
        <v>104</v>
      </c>
      <c r="D69" s="1">
        <v>2026</v>
      </c>
      <c r="E69" s="1">
        <v>304.55999755859398</v>
      </c>
      <c r="F69" s="1">
        <v>453.84000396728499</v>
      </c>
      <c r="G69" s="1">
        <v>256</v>
      </c>
      <c r="I69" s="1">
        <v>745</v>
      </c>
      <c r="J69" s="1">
        <v>136.5</v>
      </c>
      <c r="L69" s="1">
        <v>1710</v>
      </c>
      <c r="M69" s="1">
        <v>462.5</v>
      </c>
      <c r="N69" s="1">
        <v>2299.7399425506601</v>
      </c>
      <c r="R69" s="1">
        <v>136.5</v>
      </c>
      <c r="S69" s="1">
        <v>420</v>
      </c>
      <c r="T69" s="1">
        <v>118</v>
      </c>
      <c r="U69" s="205"/>
      <c r="V69" s="1">
        <v>271.5</v>
      </c>
      <c r="W69" s="1">
        <v>458.95998382568399</v>
      </c>
    </row>
    <row r="70" spans="1:23">
      <c r="A70" s="1" t="s">
        <v>50</v>
      </c>
      <c r="B70" s="1" t="s">
        <v>140</v>
      </c>
      <c r="C70" s="1" t="s">
        <v>104</v>
      </c>
      <c r="D70" s="1" t="s">
        <v>15</v>
      </c>
      <c r="E70" s="204">
        <v>3</v>
      </c>
      <c r="F70" s="204">
        <v>7</v>
      </c>
      <c r="G70" s="204" t="s">
        <v>161</v>
      </c>
      <c r="H70" s="204" t="s">
        <v>161</v>
      </c>
      <c r="I70" s="204" t="s">
        <v>161</v>
      </c>
      <c r="J70" s="204" t="s">
        <v>161</v>
      </c>
      <c r="K70" s="1" t="s">
        <v>161</v>
      </c>
      <c r="L70" s="204" t="s">
        <v>161</v>
      </c>
      <c r="M70" s="204" t="s">
        <v>161</v>
      </c>
      <c r="N70" s="204" t="s">
        <v>161</v>
      </c>
      <c r="O70" s="1" t="s">
        <v>161</v>
      </c>
      <c r="P70" s="204" t="s">
        <v>161</v>
      </c>
      <c r="Q70" s="204" t="s">
        <v>161</v>
      </c>
      <c r="R70" s="204" t="s">
        <v>161</v>
      </c>
      <c r="S70" s="204" t="s">
        <v>161</v>
      </c>
      <c r="T70" s="204" t="s">
        <v>161</v>
      </c>
      <c r="U70" s="204" t="s">
        <v>161</v>
      </c>
      <c r="V70" s="204" t="s">
        <v>161</v>
      </c>
      <c r="W70" s="204" t="s">
        <v>161</v>
      </c>
    </row>
    <row r="71" spans="1:23">
      <c r="A71" s="1" t="s">
        <v>50</v>
      </c>
      <c r="B71" s="1" t="s">
        <v>134</v>
      </c>
      <c r="C71" s="1" t="s">
        <v>149</v>
      </c>
      <c r="D71" s="1">
        <v>2025</v>
      </c>
      <c r="E71" s="1">
        <v>6086.6900024414099</v>
      </c>
      <c r="F71" s="1">
        <v>15526.2399902344</v>
      </c>
      <c r="G71" s="1">
        <v>23362.2204589844</v>
      </c>
      <c r="H71" s="1">
        <v>7351.6700000762903</v>
      </c>
      <c r="I71" s="1">
        <v>34193</v>
      </c>
      <c r="J71" s="1">
        <v>22240.919921875</v>
      </c>
      <c r="L71" s="1">
        <v>68865.5</v>
      </c>
      <c r="M71" s="1">
        <v>55900.959472656301</v>
      </c>
      <c r="N71" s="1">
        <v>141156.47949218799</v>
      </c>
      <c r="P71" s="1">
        <v>14590.359863281299</v>
      </c>
      <c r="Q71" s="1">
        <v>7376.6698455810501</v>
      </c>
      <c r="R71" s="1">
        <v>20327.1701660156</v>
      </c>
      <c r="S71" s="1">
        <v>64921.920000076301</v>
      </c>
      <c r="T71" s="1">
        <v>7075.0499877929697</v>
      </c>
      <c r="U71" s="1">
        <v>580.71000957489002</v>
      </c>
      <c r="V71" s="1">
        <v>17081.8603515625</v>
      </c>
      <c r="W71" s="1">
        <v>11497.4898853302</v>
      </c>
    </row>
    <row r="72" spans="1:23">
      <c r="A72" s="1" t="s">
        <v>50</v>
      </c>
      <c r="B72" s="1" t="s">
        <v>134</v>
      </c>
      <c r="C72" s="1" t="s">
        <v>167</v>
      </c>
      <c r="D72" s="1">
        <v>2026</v>
      </c>
      <c r="E72" s="1">
        <v>3629.34007263184</v>
      </c>
      <c r="F72" s="1">
        <v>10495.050170898399</v>
      </c>
      <c r="G72" s="1">
        <v>16427.9099121094</v>
      </c>
      <c r="H72" s="1">
        <v>21855.419921875</v>
      </c>
      <c r="I72" s="1">
        <v>26075</v>
      </c>
      <c r="J72" s="1">
        <v>20748</v>
      </c>
      <c r="L72" s="1">
        <v>47272</v>
      </c>
      <c r="M72" s="1">
        <v>40715.419921875</v>
      </c>
      <c r="N72" s="1">
        <v>113413.06861877401</v>
      </c>
      <c r="P72" s="1">
        <v>8298.3399658203107</v>
      </c>
      <c r="Q72" s="1">
        <v>7208.66015625</v>
      </c>
      <c r="R72" s="1">
        <v>19759.109985351599</v>
      </c>
      <c r="S72" s="1">
        <v>53064.400390625</v>
      </c>
      <c r="T72" s="1">
        <v>6573.5799560546902</v>
      </c>
      <c r="U72" s="1">
        <v>1885.4100227356</v>
      </c>
      <c r="V72" s="1">
        <v>16682.1599121094</v>
      </c>
      <c r="W72" s="1">
        <v>8846.3999176025409</v>
      </c>
    </row>
    <row r="73" spans="1:23">
      <c r="A73" s="1" t="s">
        <v>50</v>
      </c>
      <c r="B73" s="1" t="s">
        <v>134</v>
      </c>
      <c r="C73" s="1" t="s">
        <v>167</v>
      </c>
      <c r="D73" s="1" t="s">
        <v>15</v>
      </c>
      <c r="E73" s="204">
        <v>-0.4</v>
      </c>
      <c r="F73" s="204">
        <v>-0.32</v>
      </c>
      <c r="G73" s="204">
        <v>-0.3</v>
      </c>
      <c r="H73" s="204">
        <v>1.97</v>
      </c>
      <c r="I73" s="204">
        <v>-0.24</v>
      </c>
      <c r="J73" s="204">
        <v>-7.0000000000000007E-2</v>
      </c>
      <c r="K73" s="1" t="s">
        <v>161</v>
      </c>
      <c r="L73" s="204">
        <v>-0.31</v>
      </c>
      <c r="M73" s="204">
        <v>-0.27</v>
      </c>
      <c r="N73" s="204">
        <v>-0.2</v>
      </c>
      <c r="O73" s="1" t="s">
        <v>161</v>
      </c>
      <c r="P73" s="204">
        <v>-0.43</v>
      </c>
      <c r="Q73" s="204">
        <v>-0.02</v>
      </c>
      <c r="R73" s="204">
        <v>-0.03</v>
      </c>
      <c r="S73" s="204">
        <v>-0.18</v>
      </c>
      <c r="T73" s="204">
        <v>-7.0000000000000007E-2</v>
      </c>
      <c r="U73" s="204">
        <v>2.25</v>
      </c>
      <c r="V73" s="204">
        <v>-0.02</v>
      </c>
      <c r="W73" s="204">
        <v>-0.23</v>
      </c>
    </row>
    <row r="74" spans="1:23">
      <c r="A74" s="1" t="s">
        <v>50</v>
      </c>
      <c r="B74" s="1" t="s">
        <v>168</v>
      </c>
      <c r="C74" s="1" t="s">
        <v>163</v>
      </c>
      <c r="D74" s="1">
        <v>2025</v>
      </c>
    </row>
    <row r="75" spans="1:23">
      <c r="A75" s="1" t="s">
        <v>50</v>
      </c>
      <c r="B75" s="1" t="s">
        <v>168</v>
      </c>
      <c r="C75" s="1" t="s">
        <v>149</v>
      </c>
      <c r="D75" s="1">
        <v>2026</v>
      </c>
      <c r="E75" s="1">
        <v>2738.7799987793001</v>
      </c>
      <c r="F75" s="1">
        <v>7372.3599853515598</v>
      </c>
      <c r="G75" s="1">
        <v>8447.3700866699201</v>
      </c>
      <c r="H75" s="1">
        <v>3287.5</v>
      </c>
      <c r="I75" s="1">
        <v>13559</v>
      </c>
      <c r="J75" s="1">
        <v>8190</v>
      </c>
      <c r="L75" s="1">
        <v>22676.5</v>
      </c>
      <c r="M75" s="1">
        <v>13081.149902343799</v>
      </c>
      <c r="N75" s="1">
        <v>52126.050415039099</v>
      </c>
      <c r="P75" s="1">
        <v>6751.3400878906295</v>
      </c>
      <c r="Q75" s="1">
        <v>2485.6299896240198</v>
      </c>
      <c r="R75" s="205">
        <v>8079.15013694763</v>
      </c>
      <c r="S75" s="1">
        <v>28778.009765625</v>
      </c>
      <c r="T75" s="1">
        <v>2394.4100036621098</v>
      </c>
      <c r="U75" s="1">
        <v>188.53000736236601</v>
      </c>
      <c r="V75" s="1">
        <v>6991.1000366210901</v>
      </c>
      <c r="W75" s="1">
        <v>1351.17002868652</v>
      </c>
    </row>
    <row r="76" spans="1:23">
      <c r="A76" s="1" t="s">
        <v>50</v>
      </c>
      <c r="B76" s="1" t="s">
        <v>168</v>
      </c>
      <c r="C76" s="1" t="s">
        <v>149</v>
      </c>
      <c r="D76" s="1" t="s">
        <v>15</v>
      </c>
      <c r="E76" s="204" t="s">
        <v>161</v>
      </c>
      <c r="F76" s="204" t="s">
        <v>161</v>
      </c>
      <c r="G76" s="204" t="s">
        <v>161</v>
      </c>
      <c r="H76" s="204" t="s">
        <v>161</v>
      </c>
      <c r="I76" s="204" t="s">
        <v>161</v>
      </c>
      <c r="J76" s="204" t="s">
        <v>161</v>
      </c>
      <c r="K76" s="1" t="s">
        <v>161</v>
      </c>
      <c r="L76" s="204" t="s">
        <v>161</v>
      </c>
      <c r="M76" s="204" t="s">
        <v>161</v>
      </c>
      <c r="N76" s="204" t="s">
        <v>161</v>
      </c>
      <c r="O76" s="1" t="s">
        <v>161</v>
      </c>
      <c r="P76" s="204" t="s">
        <v>161</v>
      </c>
      <c r="Q76" s="204" t="s">
        <v>161</v>
      </c>
      <c r="R76" s="204" t="s">
        <v>161</v>
      </c>
      <c r="S76" s="204" t="s">
        <v>161</v>
      </c>
      <c r="T76" s="204" t="s">
        <v>161</v>
      </c>
      <c r="U76" s="204" t="s">
        <v>161</v>
      </c>
      <c r="V76" s="204" t="s">
        <v>161</v>
      </c>
      <c r="W76" s="204" t="s">
        <v>161</v>
      </c>
    </row>
    <row r="77" spans="1:23">
      <c r="A77" s="1" t="s">
        <v>50</v>
      </c>
      <c r="B77" s="1" t="s">
        <v>135</v>
      </c>
      <c r="C77" s="1" t="s">
        <v>115</v>
      </c>
      <c r="D77" s="1">
        <v>2025</v>
      </c>
      <c r="E77" s="1">
        <v>507.60000610351602</v>
      </c>
      <c r="F77" s="1">
        <v>3971.0999145507799</v>
      </c>
      <c r="G77" s="1">
        <v>21141.5400390625</v>
      </c>
      <c r="H77" s="1">
        <v>2200</v>
      </c>
      <c r="I77" s="1">
        <v>26649.5</v>
      </c>
      <c r="J77" s="1">
        <v>28725.5</v>
      </c>
      <c r="L77" s="1">
        <v>47333.75</v>
      </c>
      <c r="M77" s="1">
        <v>41694.770019531301</v>
      </c>
      <c r="N77" s="1">
        <v>116302.24121093799</v>
      </c>
      <c r="P77" s="1">
        <v>13719.3298339844</v>
      </c>
      <c r="Q77" s="1">
        <v>5514.7000999450702</v>
      </c>
      <c r="R77" s="1">
        <v>24035.629272460901</v>
      </c>
      <c r="S77" s="1">
        <v>60840</v>
      </c>
      <c r="T77" s="1">
        <v>3053.2500305175799</v>
      </c>
      <c r="U77" s="1">
        <v>1681.78001976013</v>
      </c>
      <c r="V77" s="1">
        <v>15279.2899169922</v>
      </c>
      <c r="W77" s="1">
        <v>23024.409851074201</v>
      </c>
    </row>
    <row r="78" spans="1:23">
      <c r="A78" s="1" t="s">
        <v>50</v>
      </c>
      <c r="B78" s="1" t="s">
        <v>135</v>
      </c>
      <c r="C78" s="1" t="s">
        <v>166</v>
      </c>
      <c r="D78" s="1">
        <v>2026</v>
      </c>
      <c r="E78" s="1">
        <v>380.69999313354498</v>
      </c>
      <c r="F78" s="1">
        <v>1077.8699798584</v>
      </c>
      <c r="G78" s="1">
        <v>7232.6700439453098</v>
      </c>
      <c r="H78" s="1">
        <v>5827.5</v>
      </c>
      <c r="I78" s="1">
        <v>8033.580078125</v>
      </c>
      <c r="J78" s="1">
        <v>5027.75</v>
      </c>
      <c r="L78" s="1">
        <v>28789.75</v>
      </c>
      <c r="M78" s="1">
        <v>24342.919921875</v>
      </c>
      <c r="N78" s="1">
        <v>64164.2392578125</v>
      </c>
      <c r="P78" s="1">
        <v>7921.3499755859402</v>
      </c>
      <c r="Q78" s="1">
        <v>3872.01002502441</v>
      </c>
      <c r="R78" s="1">
        <v>15803.5997314453</v>
      </c>
      <c r="S78" s="1">
        <v>36197.999755859397</v>
      </c>
      <c r="T78" s="1">
        <v>1996.1600036621101</v>
      </c>
      <c r="U78" s="1">
        <v>625.959998130798</v>
      </c>
      <c r="V78" s="1">
        <v>10392.419921875</v>
      </c>
      <c r="W78" s="1">
        <v>13841.4600830078</v>
      </c>
    </row>
    <row r="79" spans="1:23">
      <c r="A79" s="1" t="s">
        <v>50</v>
      </c>
      <c r="B79" s="1" t="s">
        <v>135</v>
      </c>
      <c r="C79" s="1" t="s">
        <v>166</v>
      </c>
      <c r="D79" s="1" t="s">
        <v>15</v>
      </c>
      <c r="E79" s="204">
        <v>-0.25</v>
      </c>
      <c r="F79" s="204">
        <v>-0.73</v>
      </c>
      <c r="G79" s="204">
        <v>-0.66</v>
      </c>
      <c r="H79" s="204">
        <v>1.65</v>
      </c>
      <c r="I79" s="204">
        <v>-0.7</v>
      </c>
      <c r="J79" s="204">
        <v>-0.82</v>
      </c>
      <c r="K79" s="1" t="s">
        <v>161</v>
      </c>
      <c r="L79" s="204">
        <v>-0.39</v>
      </c>
      <c r="M79" s="204">
        <v>-0.42</v>
      </c>
      <c r="N79" s="204">
        <v>-0.45</v>
      </c>
      <c r="O79" s="1" t="s">
        <v>161</v>
      </c>
      <c r="P79" s="204">
        <v>-0.42</v>
      </c>
      <c r="Q79" s="204">
        <v>-0.3</v>
      </c>
      <c r="R79" s="204">
        <v>-0.34</v>
      </c>
      <c r="S79" s="204">
        <v>-0.41</v>
      </c>
      <c r="T79" s="204">
        <v>-0.35</v>
      </c>
      <c r="U79" s="204">
        <v>-0.63</v>
      </c>
      <c r="V79" s="204">
        <v>-0.32</v>
      </c>
      <c r="W79" s="204">
        <v>-0.4</v>
      </c>
    </row>
    <row r="80" spans="1:23">
      <c r="A80" s="1" t="s">
        <v>50</v>
      </c>
      <c r="B80" s="1" t="s">
        <v>150</v>
      </c>
      <c r="C80" s="1" t="s">
        <v>162</v>
      </c>
      <c r="D80" s="1">
        <v>2025</v>
      </c>
      <c r="E80" s="1">
        <v>2131.9199905395499</v>
      </c>
      <c r="F80" s="1">
        <v>5332.6199340820303</v>
      </c>
      <c r="G80" s="1">
        <v>10774.9100341797</v>
      </c>
      <c r="H80" s="1">
        <v>531.66998291015602</v>
      </c>
      <c r="I80" s="1">
        <v>17261</v>
      </c>
      <c r="J80" s="1">
        <v>9835.5</v>
      </c>
      <c r="L80" s="1">
        <v>24771.25</v>
      </c>
      <c r="M80" s="1">
        <v>21429.8400878906</v>
      </c>
      <c r="N80" s="1">
        <v>61085.330078125</v>
      </c>
      <c r="P80" s="1">
        <v>4428.6800231933603</v>
      </c>
      <c r="Q80" s="1">
        <v>2845.2900390625</v>
      </c>
      <c r="R80" s="1">
        <v>10420.109924316401</v>
      </c>
      <c r="S80" s="1">
        <v>33140</v>
      </c>
      <c r="T80" s="1">
        <v>3481</v>
      </c>
      <c r="U80" s="1">
        <v>1319.76002502441</v>
      </c>
      <c r="V80" s="1">
        <v>8333.3299560546893</v>
      </c>
      <c r="W80" s="1">
        <v>18695.910461425799</v>
      </c>
    </row>
    <row r="81" spans="1:23">
      <c r="A81" s="1" t="s">
        <v>50</v>
      </c>
      <c r="B81" s="1" t="s">
        <v>150</v>
      </c>
      <c r="C81" s="1" t="s">
        <v>162</v>
      </c>
      <c r="D81" s="1">
        <v>2026</v>
      </c>
      <c r="E81" s="1">
        <v>1116.7200012206999</v>
      </c>
      <c r="F81" s="1">
        <v>3006.68996047974</v>
      </c>
      <c r="G81" s="1">
        <v>6307</v>
      </c>
      <c r="H81" s="1">
        <v>5892.0799865722702</v>
      </c>
      <c r="I81" s="1">
        <v>16390</v>
      </c>
      <c r="J81" s="1">
        <v>6119.75</v>
      </c>
      <c r="L81" s="1">
        <v>22044.75</v>
      </c>
      <c r="M81" s="1">
        <v>20573.960327148401</v>
      </c>
      <c r="N81" s="1">
        <v>64926.790283203103</v>
      </c>
      <c r="P81" s="1">
        <v>4290.0100555419904</v>
      </c>
      <c r="Q81" s="1">
        <v>2808.6600036621098</v>
      </c>
      <c r="R81" s="1">
        <v>7377.9201660156295</v>
      </c>
      <c r="S81" s="1">
        <v>31513.300292968801</v>
      </c>
      <c r="T81" s="1">
        <v>3884.1699981689499</v>
      </c>
      <c r="U81" s="1">
        <v>904.989990234375</v>
      </c>
      <c r="V81" s="1">
        <v>8650.1999511718805</v>
      </c>
      <c r="W81" s="1">
        <v>5322.1199970245398</v>
      </c>
    </row>
    <row r="82" spans="1:23">
      <c r="A82" s="1" t="s">
        <v>50</v>
      </c>
      <c r="B82" s="1" t="s">
        <v>150</v>
      </c>
      <c r="C82" s="1" t="s">
        <v>162</v>
      </c>
      <c r="D82" s="1" t="s">
        <v>15</v>
      </c>
      <c r="E82" s="204">
        <v>-0.48</v>
      </c>
      <c r="F82" s="204">
        <v>-0.44</v>
      </c>
      <c r="G82" s="204">
        <v>-0.41</v>
      </c>
      <c r="H82" s="204" t="s">
        <v>220</v>
      </c>
      <c r="I82" s="204">
        <v>-0.05</v>
      </c>
      <c r="J82" s="204">
        <v>-0.38</v>
      </c>
      <c r="K82" s="1" t="s">
        <v>161</v>
      </c>
      <c r="L82" s="204">
        <v>-0.11</v>
      </c>
      <c r="M82" s="204">
        <v>-0.04</v>
      </c>
      <c r="N82" s="204">
        <v>0.06</v>
      </c>
      <c r="O82" s="1" t="s">
        <v>161</v>
      </c>
      <c r="P82" s="204">
        <v>-0.03</v>
      </c>
      <c r="Q82" s="204">
        <v>-0.01</v>
      </c>
      <c r="R82" s="204">
        <v>-0.28999999999999998</v>
      </c>
      <c r="S82" s="204">
        <v>-0.05</v>
      </c>
      <c r="T82" s="204">
        <v>0.12</v>
      </c>
      <c r="U82" s="204">
        <v>-0.31</v>
      </c>
      <c r="V82" s="204">
        <v>0.04</v>
      </c>
      <c r="W82" s="204">
        <v>-0.72</v>
      </c>
    </row>
    <row r="83" spans="1:23">
      <c r="A83" s="1" t="s">
        <v>50</v>
      </c>
      <c r="B83" s="1" t="s">
        <v>157</v>
      </c>
      <c r="C83" s="1" t="s">
        <v>189</v>
      </c>
      <c r="D83" s="1">
        <v>2025</v>
      </c>
    </row>
    <row r="84" spans="1:23">
      <c r="A84" s="1" t="s">
        <v>50</v>
      </c>
      <c r="B84" s="1" t="s">
        <v>157</v>
      </c>
      <c r="C84" s="1" t="s">
        <v>174</v>
      </c>
      <c r="D84" s="1">
        <v>2026</v>
      </c>
      <c r="E84" s="1">
        <v>126.90000152587901</v>
      </c>
      <c r="F84" s="1">
        <v>510.57000732421898</v>
      </c>
      <c r="G84" s="1">
        <v>512</v>
      </c>
      <c r="H84" s="1">
        <v>117.5</v>
      </c>
      <c r="I84" s="1">
        <v>596</v>
      </c>
      <c r="J84" s="1">
        <v>273</v>
      </c>
      <c r="L84" s="1">
        <v>1254</v>
      </c>
      <c r="M84" s="1">
        <v>740</v>
      </c>
      <c r="N84" s="1">
        <v>1360</v>
      </c>
      <c r="P84" s="1">
        <v>260</v>
      </c>
      <c r="R84" s="1">
        <v>204.75</v>
      </c>
      <c r="S84" s="1">
        <v>941.92000007629395</v>
      </c>
      <c r="T84" s="1">
        <v>118</v>
      </c>
      <c r="V84" s="1">
        <v>181</v>
      </c>
      <c r="W84" s="1">
        <v>1218.9499816894499</v>
      </c>
    </row>
    <row r="85" spans="1:23">
      <c r="A85" s="1" t="s">
        <v>50</v>
      </c>
      <c r="B85" s="1" t="s">
        <v>157</v>
      </c>
      <c r="C85" s="1" t="s">
        <v>174</v>
      </c>
      <c r="D85" s="1" t="s">
        <v>15</v>
      </c>
      <c r="E85" s="204" t="s">
        <v>161</v>
      </c>
      <c r="F85" s="204" t="s">
        <v>161</v>
      </c>
      <c r="G85" s="204" t="s">
        <v>161</v>
      </c>
      <c r="H85" s="204" t="s">
        <v>161</v>
      </c>
      <c r="I85" s="204" t="s">
        <v>161</v>
      </c>
      <c r="J85" s="204" t="s">
        <v>161</v>
      </c>
      <c r="K85" s="1" t="s">
        <v>161</v>
      </c>
      <c r="L85" s="204" t="s">
        <v>161</v>
      </c>
      <c r="M85" s="204" t="s">
        <v>161</v>
      </c>
      <c r="N85" s="204" t="s">
        <v>161</v>
      </c>
      <c r="O85" s="1" t="s">
        <v>161</v>
      </c>
      <c r="P85" s="204" t="s">
        <v>161</v>
      </c>
      <c r="Q85" s="204" t="s">
        <v>161</v>
      </c>
      <c r="R85" s="204" t="s">
        <v>161</v>
      </c>
      <c r="S85" s="204" t="s">
        <v>161</v>
      </c>
      <c r="T85" s="204" t="s">
        <v>161</v>
      </c>
      <c r="U85" s="204" t="s">
        <v>161</v>
      </c>
      <c r="V85" s="204" t="s">
        <v>161</v>
      </c>
      <c r="W85" s="204" t="s">
        <v>161</v>
      </c>
    </row>
    <row r="86" spans="1:23">
      <c r="A86" s="1" t="s">
        <v>50</v>
      </c>
      <c r="B86" s="1" t="s">
        <v>156</v>
      </c>
      <c r="C86" s="1" t="s">
        <v>121</v>
      </c>
      <c r="D86" s="1">
        <v>2025</v>
      </c>
      <c r="E86" s="1">
        <v>8216.8498535156305</v>
      </c>
      <c r="F86" s="1">
        <v>24732.6594238281</v>
      </c>
      <c r="G86" s="1">
        <v>39006.7705078125</v>
      </c>
      <c r="H86" s="1">
        <v>2860</v>
      </c>
      <c r="I86" s="1">
        <v>50165.76953125</v>
      </c>
      <c r="J86" s="1">
        <v>9318.5</v>
      </c>
      <c r="L86" s="1">
        <v>85452.5</v>
      </c>
      <c r="M86" s="1">
        <v>62939.258300781301</v>
      </c>
      <c r="N86" s="1">
        <v>78024.729980468794</v>
      </c>
      <c r="P86" s="1">
        <v>19595.3798828125</v>
      </c>
      <c r="Q86" s="1">
        <v>13301.4003143311</v>
      </c>
      <c r="R86" s="1">
        <v>8209.169921875</v>
      </c>
      <c r="S86" s="1">
        <v>49004</v>
      </c>
      <c r="T86" s="1">
        <v>5944.2400512695303</v>
      </c>
      <c r="U86" s="1">
        <v>2028.6000318527199</v>
      </c>
      <c r="V86" s="1">
        <v>21319.8601074219</v>
      </c>
      <c r="W86" s="1">
        <v>56825.049072265603</v>
      </c>
    </row>
    <row r="87" spans="1:23">
      <c r="A87" s="1" t="s">
        <v>50</v>
      </c>
      <c r="B87" s="1" t="s">
        <v>156</v>
      </c>
      <c r="C87" s="1" t="s">
        <v>121</v>
      </c>
      <c r="D87" s="1">
        <v>2026</v>
      </c>
      <c r="E87" s="1">
        <v>7103.02001953125</v>
      </c>
      <c r="F87" s="1">
        <v>20299.1796875</v>
      </c>
      <c r="G87" s="1">
        <v>28556.650390625</v>
      </c>
      <c r="H87" s="1">
        <v>7407.9100341796902</v>
      </c>
      <c r="I87" s="1">
        <v>33959.580078125</v>
      </c>
      <c r="J87" s="1">
        <v>9577.75</v>
      </c>
      <c r="L87" s="1">
        <v>68699.25</v>
      </c>
      <c r="M87" s="1">
        <v>47653.699707031301</v>
      </c>
      <c r="N87" s="1">
        <v>63303.4208984375</v>
      </c>
      <c r="P87" s="1">
        <v>15353.020019531299</v>
      </c>
      <c r="Q87" s="1">
        <v>9831.3198509216309</v>
      </c>
      <c r="R87" s="1">
        <v>8782.5699462890607</v>
      </c>
      <c r="S87" s="1">
        <v>45632.7294921875</v>
      </c>
      <c r="T87" s="1">
        <v>4597.0699462890598</v>
      </c>
      <c r="U87" s="1">
        <v>1108.5699901580799</v>
      </c>
      <c r="V87" s="1">
        <v>18107.0300292969</v>
      </c>
      <c r="W87" s="1">
        <v>42998.339599609397</v>
      </c>
    </row>
    <row r="88" spans="1:23">
      <c r="A88" s="1" t="s">
        <v>50</v>
      </c>
      <c r="B88" s="1" t="s">
        <v>156</v>
      </c>
      <c r="C88" s="1" t="s">
        <v>121</v>
      </c>
      <c r="D88" s="1" t="s">
        <v>15</v>
      </c>
      <c r="E88" s="204">
        <v>-0.14000000000000001</v>
      </c>
      <c r="F88" s="204">
        <v>-0.18</v>
      </c>
      <c r="G88" s="204">
        <v>-0.27</v>
      </c>
      <c r="H88" s="204">
        <v>1.59</v>
      </c>
      <c r="I88" s="204">
        <v>-0.32</v>
      </c>
      <c r="J88" s="204">
        <v>0.03</v>
      </c>
      <c r="K88" s="1" t="s">
        <v>161</v>
      </c>
      <c r="L88" s="204">
        <v>-0.2</v>
      </c>
      <c r="M88" s="204">
        <v>-0.24</v>
      </c>
      <c r="N88" s="204">
        <v>-0.19</v>
      </c>
      <c r="O88" s="1" t="s">
        <v>161</v>
      </c>
      <c r="P88" s="204">
        <v>-0.22</v>
      </c>
      <c r="Q88" s="204">
        <v>-0.26</v>
      </c>
      <c r="R88" s="204">
        <v>7.0000000000000007E-2</v>
      </c>
      <c r="S88" s="204">
        <v>-7.0000000000000007E-2</v>
      </c>
      <c r="T88" s="204">
        <v>-0.23</v>
      </c>
      <c r="U88" s="204">
        <v>-0.45</v>
      </c>
      <c r="V88" s="204">
        <v>-0.15</v>
      </c>
      <c r="W88" s="204">
        <v>-0.24</v>
      </c>
    </row>
    <row r="89" spans="1:23">
      <c r="A89" s="1" t="s">
        <v>50</v>
      </c>
      <c r="B89" s="1" t="s">
        <v>55</v>
      </c>
      <c r="C89" s="1" t="s">
        <v>55</v>
      </c>
      <c r="D89" s="1">
        <v>2025</v>
      </c>
      <c r="E89" s="1">
        <v>148641.11882787899</v>
      </c>
      <c r="F89" s="1">
        <v>338634.94734334998</v>
      </c>
      <c r="G89" s="1">
        <v>67240.870000362396</v>
      </c>
      <c r="H89" s="1">
        <v>80068.680004119902</v>
      </c>
      <c r="I89" s="1">
        <v>406981.63825988799</v>
      </c>
      <c r="J89" s="1">
        <v>190579.39999008199</v>
      </c>
      <c r="K89" s="1">
        <v>0</v>
      </c>
      <c r="L89" s="1">
        <v>2423251.1600227398</v>
      </c>
      <c r="M89" s="1">
        <v>1419551.7707042701</v>
      </c>
      <c r="N89" s="1">
        <v>3938543.7350091902</v>
      </c>
      <c r="O89" s="1">
        <v>0</v>
      </c>
      <c r="P89" s="1">
        <v>368906.203125</v>
      </c>
      <c r="Q89" s="1">
        <v>187207.69004917101</v>
      </c>
      <c r="R89" s="1">
        <v>564449.56710815395</v>
      </c>
      <c r="S89" s="1">
        <v>2258349.4653320299</v>
      </c>
      <c r="T89" s="1">
        <v>42070.770032405897</v>
      </c>
      <c r="U89" s="1">
        <v>18830.219973564199</v>
      </c>
      <c r="V89" s="1">
        <v>257642.680243493</v>
      </c>
      <c r="W89" s="1">
        <v>18286.999565124501</v>
      </c>
    </row>
    <row r="90" spans="1:23">
      <c r="A90" s="1" t="s">
        <v>50</v>
      </c>
      <c r="B90" s="1" t="s">
        <v>55</v>
      </c>
      <c r="C90" s="1" t="s">
        <v>55</v>
      </c>
      <c r="D90" s="1">
        <v>2026</v>
      </c>
      <c r="E90" s="1">
        <v>105871.471884727</v>
      </c>
      <c r="F90" s="1">
        <v>259974.34961509699</v>
      </c>
      <c r="G90" s="1">
        <v>45279.340004920901</v>
      </c>
      <c r="H90" s="1">
        <v>33405.720008850098</v>
      </c>
      <c r="I90" s="1">
        <v>118481.060005188</v>
      </c>
      <c r="J90" s="1">
        <v>50702.470039367698</v>
      </c>
      <c r="K90" s="1">
        <v>0</v>
      </c>
      <c r="L90" s="1">
        <v>2168040.1995124798</v>
      </c>
      <c r="M90" s="1">
        <v>1138581.3541850999</v>
      </c>
      <c r="N90" s="1">
        <v>3483301.6596145602</v>
      </c>
      <c r="O90" s="1">
        <v>0</v>
      </c>
      <c r="P90" s="1">
        <v>368834.334803581</v>
      </c>
      <c r="Q90" s="1">
        <v>179353.61001014701</v>
      </c>
      <c r="R90" s="1">
        <v>530623.134998322</v>
      </c>
      <c r="S90" s="1">
        <v>2049087.0614318801</v>
      </c>
      <c r="T90" s="1">
        <v>41045.620120048501</v>
      </c>
      <c r="U90" s="1">
        <v>17286.2198848724</v>
      </c>
      <c r="V90" s="1">
        <v>265141.04681682598</v>
      </c>
      <c r="W90" s="1">
        <v>59843.720245361401</v>
      </c>
    </row>
    <row r="91" spans="1:23">
      <c r="A91" s="1" t="s">
        <v>50</v>
      </c>
      <c r="B91" s="1" t="s">
        <v>55</v>
      </c>
      <c r="C91" s="1" t="s">
        <v>55</v>
      </c>
      <c r="D91" s="1" t="s">
        <v>15</v>
      </c>
      <c r="E91" s="204">
        <v>-0.28999999999999998</v>
      </c>
      <c r="F91" s="204">
        <v>-0.23</v>
      </c>
      <c r="G91" s="204">
        <v>-0.33</v>
      </c>
      <c r="H91" s="204">
        <v>-0.57999999999999996</v>
      </c>
      <c r="I91" s="204">
        <v>-0.71</v>
      </c>
      <c r="J91" s="204">
        <v>-0.73</v>
      </c>
      <c r="K91" s="1" t="s">
        <v>161</v>
      </c>
      <c r="L91" s="204">
        <v>-0.11</v>
      </c>
      <c r="M91" s="204">
        <v>-0.2</v>
      </c>
      <c r="N91" s="204">
        <v>-0.12</v>
      </c>
      <c r="O91" s="1" t="s">
        <v>161</v>
      </c>
      <c r="P91" s="204">
        <v>0</v>
      </c>
      <c r="Q91" s="204">
        <v>-0.04</v>
      </c>
      <c r="R91" s="204">
        <v>-0.06</v>
      </c>
      <c r="S91" s="204">
        <v>-0.09</v>
      </c>
      <c r="T91" s="204">
        <v>-0.02</v>
      </c>
      <c r="U91" s="204">
        <v>-0.08</v>
      </c>
      <c r="V91" s="204">
        <v>0.03</v>
      </c>
      <c r="W91" s="204">
        <v>2.27</v>
      </c>
    </row>
    <row r="92" spans="1:23">
      <c r="A92" s="1" t="s">
        <v>50</v>
      </c>
      <c r="B92" s="1" t="s">
        <v>57</v>
      </c>
      <c r="C92" s="1" t="s">
        <v>146</v>
      </c>
      <c r="D92" s="1">
        <v>2025</v>
      </c>
      <c r="E92" s="1">
        <v>31648.409778595</v>
      </c>
      <c r="F92" s="1">
        <v>59411.579452514699</v>
      </c>
      <c r="G92" s="1">
        <v>125753.741033554</v>
      </c>
      <c r="H92" s="1">
        <v>28526.689989089999</v>
      </c>
      <c r="I92" s="1">
        <v>190124.26953125</v>
      </c>
      <c r="J92" s="1">
        <v>81885.010009765596</v>
      </c>
      <c r="K92" s="1">
        <v>0</v>
      </c>
      <c r="L92" s="1">
        <v>334219.5</v>
      </c>
      <c r="M92" s="1">
        <v>167295.410354614</v>
      </c>
      <c r="N92" s="1">
        <v>623596.47015380894</v>
      </c>
      <c r="O92" s="1">
        <v>0</v>
      </c>
      <c r="P92" s="1">
        <v>80868.869981765805</v>
      </c>
      <c r="Q92" s="1">
        <v>27373.7999248505</v>
      </c>
      <c r="R92" s="1">
        <v>80567.729944229199</v>
      </c>
      <c r="S92" s="1">
        <v>310153.88003349298</v>
      </c>
      <c r="T92" s="1">
        <v>22326.469894409202</v>
      </c>
      <c r="U92" s="1">
        <v>2013.57996463776</v>
      </c>
      <c r="V92" s="1">
        <v>68364.969360351693</v>
      </c>
      <c r="W92" s="1">
        <v>163339.380142212</v>
      </c>
    </row>
    <row r="93" spans="1:23">
      <c r="A93" s="1" t="s">
        <v>50</v>
      </c>
      <c r="B93" s="1" t="s">
        <v>57</v>
      </c>
      <c r="C93" s="1" t="s">
        <v>146</v>
      </c>
      <c r="D93" s="1">
        <v>2026</v>
      </c>
      <c r="E93" s="1">
        <v>27857.100036621101</v>
      </c>
      <c r="F93" s="1">
        <v>58574.149868011496</v>
      </c>
      <c r="G93" s="1">
        <v>96383.870681762797</v>
      </c>
      <c r="H93" s="1">
        <v>53224.179794311603</v>
      </c>
      <c r="I93" s="1">
        <v>139463.98034668001</v>
      </c>
      <c r="J93" s="1">
        <v>57375.5</v>
      </c>
      <c r="K93" s="1">
        <v>0</v>
      </c>
      <c r="L93" s="1">
        <v>288985.25</v>
      </c>
      <c r="M93" s="1">
        <v>143530.12056350699</v>
      </c>
      <c r="N93" s="1">
        <v>705995.42491912795</v>
      </c>
      <c r="O93" s="1">
        <v>0</v>
      </c>
      <c r="P93" s="1">
        <v>77952.489593505801</v>
      </c>
      <c r="Q93" s="1">
        <v>23393.4299468994</v>
      </c>
      <c r="R93" s="1">
        <v>100363.239315987</v>
      </c>
      <c r="S93" s="1">
        <v>371343.40239143401</v>
      </c>
      <c r="T93" s="1">
        <v>21195.6699962616</v>
      </c>
      <c r="U93" s="1">
        <v>2104.04002952576</v>
      </c>
      <c r="V93" s="1">
        <v>68274.439708709804</v>
      </c>
      <c r="W93" s="1">
        <v>117945.00978088399</v>
      </c>
    </row>
    <row r="94" spans="1:23">
      <c r="A94" s="1" t="s">
        <v>50</v>
      </c>
      <c r="B94" s="1" t="s">
        <v>57</v>
      </c>
      <c r="C94" s="1" t="s">
        <v>146</v>
      </c>
      <c r="D94" s="1" t="s">
        <v>15</v>
      </c>
      <c r="E94" s="204">
        <v>-0.12</v>
      </c>
      <c r="F94" s="204">
        <v>-0.01</v>
      </c>
      <c r="G94" s="204">
        <v>-0.23</v>
      </c>
      <c r="H94" s="204">
        <v>0.87</v>
      </c>
      <c r="I94" s="204">
        <v>-0.27</v>
      </c>
      <c r="J94" s="204">
        <v>-0.3</v>
      </c>
      <c r="K94" s="1" t="s">
        <v>161</v>
      </c>
      <c r="L94" s="204">
        <v>-0.14000000000000001</v>
      </c>
      <c r="M94" s="204">
        <v>-0.14000000000000001</v>
      </c>
      <c r="N94" s="204">
        <v>0.13</v>
      </c>
      <c r="O94" s="1" t="s">
        <v>161</v>
      </c>
      <c r="P94" s="204">
        <v>-0.04</v>
      </c>
      <c r="Q94" s="204">
        <v>-0.15</v>
      </c>
      <c r="R94" s="204">
        <v>0.25</v>
      </c>
      <c r="S94" s="204">
        <v>0.2</v>
      </c>
      <c r="T94" s="204">
        <v>-0.05</v>
      </c>
      <c r="U94" s="204">
        <v>0.04</v>
      </c>
      <c r="V94" s="204">
        <v>0</v>
      </c>
      <c r="W94" s="204">
        <v>-0.28000000000000003</v>
      </c>
    </row>
    <row r="95" spans="1:23">
      <c r="A95" s="1" t="s">
        <v>50</v>
      </c>
      <c r="B95" s="1" t="s">
        <v>58</v>
      </c>
      <c r="C95" s="1" t="s">
        <v>160</v>
      </c>
      <c r="D95" s="1">
        <v>2025</v>
      </c>
      <c r="E95" s="1">
        <v>35855.179801940903</v>
      </c>
      <c r="F95" s="1">
        <v>93127.29845047</v>
      </c>
      <c r="G95" s="1">
        <v>159691.731811523</v>
      </c>
      <c r="H95" s="1">
        <v>24346.679983139002</v>
      </c>
      <c r="I95" s="1">
        <v>228702.69921875</v>
      </c>
      <c r="J95" s="1">
        <v>95208.419921875</v>
      </c>
      <c r="K95" s="1">
        <v>0</v>
      </c>
      <c r="L95" s="1">
        <v>414219</v>
      </c>
      <c r="M95" s="1">
        <v>302716.54858398403</v>
      </c>
      <c r="N95" s="1">
        <v>624157.04193115304</v>
      </c>
      <c r="O95" s="1">
        <v>0</v>
      </c>
      <c r="P95" s="1">
        <v>97001.799346924003</v>
      </c>
      <c r="Q95" s="1">
        <v>48419.920158386303</v>
      </c>
      <c r="R95" s="1">
        <v>89939.799133300694</v>
      </c>
      <c r="S95" s="1">
        <v>348600.500001907</v>
      </c>
      <c r="T95" s="1">
        <v>33467.650039672902</v>
      </c>
      <c r="U95" s="1">
        <v>8310.7700958251899</v>
      </c>
      <c r="V95" s="1">
        <v>106713.900558472</v>
      </c>
      <c r="W95" s="1">
        <v>198278.26896858201</v>
      </c>
    </row>
    <row r="96" spans="1:23">
      <c r="A96" s="1" t="s">
        <v>50</v>
      </c>
      <c r="B96" s="1" t="s">
        <v>58</v>
      </c>
      <c r="C96" s="1" t="s">
        <v>160</v>
      </c>
      <c r="D96" s="1">
        <v>2026</v>
      </c>
      <c r="E96" s="1">
        <v>33138.979909896902</v>
      </c>
      <c r="F96" s="1">
        <v>87089.009822845503</v>
      </c>
      <c r="G96" s="1">
        <v>106955.42036438</v>
      </c>
      <c r="H96" s="1">
        <v>53897.899932861299</v>
      </c>
      <c r="I96" s="1">
        <v>165265.79052734401</v>
      </c>
      <c r="J96" s="1">
        <v>63859.25</v>
      </c>
      <c r="K96" s="1">
        <v>0</v>
      </c>
      <c r="L96" s="1">
        <v>349258</v>
      </c>
      <c r="M96" s="1">
        <v>240863.79983520499</v>
      </c>
      <c r="N96" s="1">
        <v>560464.96037101699</v>
      </c>
      <c r="O96" s="1">
        <v>0</v>
      </c>
      <c r="P96" s="1">
        <v>81748.489639282299</v>
      </c>
      <c r="Q96" s="1">
        <v>41904.8100090027</v>
      </c>
      <c r="R96" s="1">
        <v>82033.329866409302</v>
      </c>
      <c r="S96" s="1">
        <v>315849.35951423697</v>
      </c>
      <c r="T96" s="1">
        <v>31894.3498535156</v>
      </c>
      <c r="U96" s="1">
        <v>6478.2399835586602</v>
      </c>
      <c r="V96" s="1">
        <v>98893.659951210095</v>
      </c>
      <c r="W96" s="1">
        <v>132560.44945907599</v>
      </c>
    </row>
    <row r="97" spans="1:23">
      <c r="A97" s="1" t="s">
        <v>50</v>
      </c>
      <c r="B97" s="1" t="s">
        <v>58</v>
      </c>
      <c r="C97" s="1" t="s">
        <v>160</v>
      </c>
      <c r="D97" s="1" t="s">
        <v>15</v>
      </c>
      <c r="E97" s="204">
        <v>-0.08</v>
      </c>
      <c r="F97" s="204">
        <v>-0.06</v>
      </c>
      <c r="G97" s="204">
        <v>-0.33</v>
      </c>
      <c r="H97" s="204">
        <v>1.21</v>
      </c>
      <c r="I97" s="204">
        <v>-0.28000000000000003</v>
      </c>
      <c r="J97" s="204">
        <v>-0.33</v>
      </c>
      <c r="K97" s="1" t="s">
        <v>161</v>
      </c>
      <c r="L97" s="204">
        <v>-0.16</v>
      </c>
      <c r="M97" s="204">
        <v>-0.2</v>
      </c>
      <c r="N97" s="204">
        <v>-0.1</v>
      </c>
      <c r="O97" s="1" t="s">
        <v>161</v>
      </c>
      <c r="P97" s="204">
        <v>-0.16</v>
      </c>
      <c r="Q97" s="204">
        <v>-0.13</v>
      </c>
      <c r="R97" s="204">
        <v>-0.09</v>
      </c>
      <c r="S97" s="204">
        <v>-0.09</v>
      </c>
      <c r="T97" s="204">
        <v>-0.05</v>
      </c>
      <c r="U97" s="204">
        <v>-0.22</v>
      </c>
      <c r="V97" s="204">
        <v>-7.0000000000000007E-2</v>
      </c>
      <c r="W97" s="204">
        <v>-0.33</v>
      </c>
    </row>
    <row r="98" spans="1:23">
      <c r="A98" s="1" t="s">
        <v>50</v>
      </c>
      <c r="B98" s="1" t="s">
        <v>59</v>
      </c>
      <c r="C98" s="1" t="s">
        <v>59</v>
      </c>
      <c r="D98" s="1">
        <v>2025</v>
      </c>
      <c r="E98" s="1">
        <v>216144.708408415</v>
      </c>
      <c r="F98" s="1">
        <v>491173.82524633402</v>
      </c>
      <c r="G98" s="1">
        <v>352686.34284544003</v>
      </c>
      <c r="H98" s="1">
        <v>132942.04997634899</v>
      </c>
      <c r="I98" s="1">
        <v>825808.60700988804</v>
      </c>
      <c r="J98" s="1">
        <v>367672.829921722</v>
      </c>
      <c r="K98" s="1">
        <v>0</v>
      </c>
      <c r="L98" s="1">
        <v>3171689.6600227398</v>
      </c>
      <c r="M98" s="1">
        <v>1889563.7296428699</v>
      </c>
      <c r="N98" s="1">
        <v>5186297.2470941599</v>
      </c>
      <c r="O98" s="1">
        <v>0</v>
      </c>
      <c r="P98" s="1">
        <v>546776.87245369004</v>
      </c>
      <c r="Q98" s="1">
        <v>263001.41013240803</v>
      </c>
      <c r="R98" s="1">
        <v>734957.09618568397</v>
      </c>
      <c r="S98" s="1">
        <v>2917103.8453674298</v>
      </c>
      <c r="T98" s="1">
        <v>97864.889966487899</v>
      </c>
      <c r="U98" s="1">
        <v>29154.5700340271</v>
      </c>
      <c r="V98" s="1">
        <v>432721.55016231601</v>
      </c>
      <c r="W98" s="1">
        <v>379904.64867591899</v>
      </c>
    </row>
    <row r="99" spans="1:23">
      <c r="A99" s="1" t="s">
        <v>50</v>
      </c>
      <c r="B99" s="1" t="s">
        <v>59</v>
      </c>
      <c r="C99" s="1" t="s">
        <v>59</v>
      </c>
      <c r="D99" s="1">
        <v>2026</v>
      </c>
      <c r="E99" s="1">
        <v>166867.55183124499</v>
      </c>
      <c r="F99" s="1">
        <v>405637.50930595398</v>
      </c>
      <c r="G99" s="1">
        <v>248618.631051064</v>
      </c>
      <c r="H99" s="1">
        <v>140527.79973602301</v>
      </c>
      <c r="I99" s="1">
        <v>423210.83087921102</v>
      </c>
      <c r="J99" s="1">
        <v>171937.220039368</v>
      </c>
      <c r="K99" s="1">
        <v>0</v>
      </c>
      <c r="L99" s="1">
        <v>2806283.4495124798</v>
      </c>
      <c r="M99" s="1">
        <v>1522975.27458382</v>
      </c>
      <c r="N99" s="1">
        <v>4749762.0449046995</v>
      </c>
      <c r="O99" s="1">
        <v>0</v>
      </c>
      <c r="P99" s="1">
        <v>528535.31403636897</v>
      </c>
      <c r="Q99" s="1">
        <v>244651.84996604899</v>
      </c>
      <c r="R99" s="1">
        <v>713019.70418071805</v>
      </c>
      <c r="S99" s="1">
        <v>2736279.8233375498</v>
      </c>
      <c r="T99" s="1">
        <v>94135.639969825803</v>
      </c>
      <c r="U99" s="1">
        <v>25868.499897956801</v>
      </c>
      <c r="V99" s="1">
        <v>432309.14647674601</v>
      </c>
      <c r="W99" s="1">
        <v>310349.17948532099</v>
      </c>
    </row>
    <row r="100" spans="1:23">
      <c r="A100" s="1" t="s">
        <v>50</v>
      </c>
      <c r="B100" s="1" t="s">
        <v>59</v>
      </c>
      <c r="C100" s="1" t="s">
        <v>59</v>
      </c>
      <c r="D100" s="1" t="s">
        <v>15</v>
      </c>
      <c r="E100" s="204">
        <v>-0.23</v>
      </c>
      <c r="F100" s="204">
        <v>-0.17</v>
      </c>
      <c r="G100" s="204">
        <v>-0.3</v>
      </c>
      <c r="H100" s="204">
        <v>0.06</v>
      </c>
      <c r="I100" s="204">
        <v>-0.49</v>
      </c>
      <c r="J100" s="204">
        <v>-0.53</v>
      </c>
      <c r="K100" s="1" t="s">
        <v>161</v>
      </c>
      <c r="L100" s="204">
        <v>-0.12</v>
      </c>
      <c r="M100" s="204">
        <v>-0.19</v>
      </c>
      <c r="N100" s="204">
        <v>-0.08</v>
      </c>
      <c r="O100" s="1" t="s">
        <v>161</v>
      </c>
      <c r="P100" s="204">
        <v>-0.03</v>
      </c>
      <c r="Q100" s="204">
        <v>-7.0000000000000007E-2</v>
      </c>
      <c r="R100" s="204">
        <v>-0.03</v>
      </c>
      <c r="S100" s="204">
        <v>-0.06</v>
      </c>
      <c r="T100" s="204">
        <v>-0.04</v>
      </c>
      <c r="U100" s="204">
        <v>-0.11</v>
      </c>
      <c r="V100" s="204">
        <v>0</v>
      </c>
      <c r="W100" s="204">
        <v>-0.18</v>
      </c>
    </row>
  </sheetData>
  <mergeCells count="8">
    <mergeCell ref="W6:W7"/>
    <mergeCell ref="S1:X2"/>
    <mergeCell ref="A5:B5"/>
    <mergeCell ref="E5:F5"/>
    <mergeCell ref="G5:K5"/>
    <mergeCell ref="L5:O5"/>
    <mergeCell ref="P5:R5"/>
    <mergeCell ref="T5:V5"/>
  </mergeCells>
  <printOptions horizontalCentered="1"/>
  <pageMargins left="0" right="0" top="0.19685039370078741" bottom="0" header="0.51181102362204722" footer="0.51181102362204722"/>
  <pageSetup paperSize="9" scale="75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0"/>
  <sheetViews>
    <sheetView zoomScale="75" workbookViewId="0">
      <pane xSplit="3" ySplit="7" topLeftCell="D8" activePane="bottomRight" state="frozenSplit"/>
      <selection activeCell="N158" sqref="N158"/>
      <selection pane="topRight" activeCell="N158" sqref="N158"/>
      <selection pane="bottomLeft" activeCell="N158" sqref="N158"/>
      <selection pane="bottomRight" activeCell="A8" sqref="A8:AD100"/>
    </sheetView>
  </sheetViews>
  <sheetFormatPr baseColWidth="10" defaultRowHeight="12.75"/>
  <cols>
    <col min="1" max="1" width="19.85546875" style="40" customWidth="1"/>
    <col min="2" max="2" width="25.140625" style="40" customWidth="1"/>
    <col min="3" max="3" width="31.7109375" style="40" bestFit="1" customWidth="1"/>
    <col min="4" max="4" width="5.85546875" style="40" bestFit="1" customWidth="1"/>
    <col min="5" max="5" width="9.140625" style="40" bestFit="1" customWidth="1"/>
    <col min="6" max="6" width="8.5703125" style="40" customWidth="1"/>
    <col min="7" max="7" width="8.28515625" style="40" customWidth="1"/>
    <col min="8" max="8" width="7.42578125" style="40" customWidth="1"/>
    <col min="9" max="9" width="7.7109375" style="40" customWidth="1"/>
    <col min="10" max="10" width="9.140625" style="40" customWidth="1"/>
    <col min="11" max="12" width="7.85546875" style="40" customWidth="1"/>
    <col min="13" max="13" width="8.140625" style="40" customWidth="1"/>
    <col min="14" max="14" width="7.7109375" style="40" customWidth="1"/>
    <col min="15" max="15" width="8" style="40" customWidth="1"/>
    <col min="16" max="16" width="7.28515625" style="40" customWidth="1"/>
    <col min="17" max="17" width="8" style="40" customWidth="1"/>
    <col min="18" max="18" width="8.85546875" style="40" bestFit="1" customWidth="1"/>
    <col min="19" max="19" width="8.42578125" style="40" customWidth="1"/>
    <col min="20" max="20" width="8.140625" style="40" customWidth="1"/>
    <col min="21" max="21" width="8.42578125" style="40" customWidth="1"/>
    <col min="22" max="22" width="7.5703125" style="40" customWidth="1"/>
    <col min="23" max="23" width="8.140625" style="40" bestFit="1" customWidth="1"/>
    <col min="24" max="24" width="46.28515625" style="40" bestFit="1" customWidth="1"/>
    <col min="25" max="16384" width="11.42578125" style="40"/>
  </cols>
  <sheetData>
    <row r="1" spans="1:23" ht="9.75" customHeight="1">
      <c r="A1" s="74" t="s">
        <v>0</v>
      </c>
      <c r="B1" s="63"/>
      <c r="C1" s="62"/>
      <c r="D1" s="62"/>
    </row>
    <row r="2" spans="1:23" ht="24.75" customHeight="1">
      <c r="A2" s="73" t="s">
        <v>4</v>
      </c>
      <c r="B2" s="63"/>
      <c r="C2" s="62"/>
      <c r="D2" s="62"/>
      <c r="G2" s="67"/>
      <c r="H2" s="72" t="s">
        <v>117</v>
      </c>
      <c r="I2" s="67"/>
      <c r="J2" s="67"/>
      <c r="K2" s="67"/>
      <c r="S2" s="71"/>
      <c r="T2" s="235">
        <f ca="1">+TODAY()</f>
        <v>46179</v>
      </c>
      <c r="U2" s="235"/>
      <c r="V2" s="235"/>
      <c r="W2" s="235"/>
    </row>
    <row r="3" spans="1:23">
      <c r="A3" s="68"/>
      <c r="B3" s="68"/>
      <c r="C3" s="68"/>
      <c r="D3" s="68"/>
      <c r="E3" s="68"/>
      <c r="F3" s="68"/>
      <c r="G3" s="68"/>
      <c r="H3" s="68"/>
      <c r="I3" s="70"/>
      <c r="J3" s="70" t="s">
        <v>215</v>
      </c>
      <c r="K3" s="70"/>
      <c r="L3" s="69"/>
      <c r="M3" s="68"/>
      <c r="N3" s="68"/>
      <c r="O3" s="68"/>
      <c r="P3" s="68"/>
      <c r="Q3" s="68"/>
      <c r="R3" s="68"/>
      <c r="S3" s="68"/>
      <c r="T3" s="68"/>
      <c r="U3" s="68"/>
    </row>
    <row r="4" spans="1:23" ht="13.5" thickBot="1">
      <c r="A4" s="64"/>
      <c r="B4" s="63"/>
      <c r="C4" s="62"/>
      <c r="D4" s="62"/>
      <c r="F4" s="67"/>
      <c r="G4" s="67"/>
      <c r="H4" s="67"/>
      <c r="I4" s="67"/>
      <c r="J4" s="67"/>
      <c r="K4" s="67"/>
    </row>
    <row r="5" spans="1:23" ht="14.25" customHeight="1">
      <c r="A5" s="236"/>
      <c r="B5" s="236"/>
      <c r="C5" s="62"/>
      <c r="D5" s="62"/>
      <c r="E5" s="237" t="s">
        <v>49</v>
      </c>
      <c r="F5" s="238"/>
      <c r="G5" s="239"/>
      <c r="H5" s="240" t="s">
        <v>111</v>
      </c>
      <c r="I5" s="241"/>
      <c r="J5" s="242" t="s">
        <v>48</v>
      </c>
      <c r="K5" s="243"/>
      <c r="L5" s="243"/>
      <c r="M5" s="244"/>
      <c r="N5" s="245" t="s">
        <v>47</v>
      </c>
      <c r="O5" s="246"/>
      <c r="P5" s="247"/>
      <c r="Q5" s="66" t="s">
        <v>46</v>
      </c>
      <c r="R5" s="65" t="s">
        <v>45</v>
      </c>
      <c r="S5" s="240" t="s">
        <v>44</v>
      </c>
      <c r="T5" s="243"/>
      <c r="U5" s="241"/>
      <c r="V5" s="248" t="s">
        <v>43</v>
      </c>
      <c r="W5" s="248" t="s">
        <v>42</v>
      </c>
    </row>
    <row r="6" spans="1:23" ht="14.25" customHeight="1" thickBot="1">
      <c r="A6" s="64"/>
      <c r="B6" s="63"/>
      <c r="C6" s="62"/>
      <c r="D6" s="62"/>
      <c r="E6" s="61">
        <v>10</v>
      </c>
      <c r="F6" s="60">
        <v>100</v>
      </c>
      <c r="G6" s="59" t="s">
        <v>41</v>
      </c>
      <c r="H6" s="53">
        <v>10</v>
      </c>
      <c r="I6" s="55">
        <v>100</v>
      </c>
      <c r="J6" s="57" t="s">
        <v>40</v>
      </c>
      <c r="K6" s="58" t="s">
        <v>39</v>
      </c>
      <c r="L6" s="58" t="s">
        <v>38</v>
      </c>
      <c r="M6" s="56" t="s">
        <v>37</v>
      </c>
      <c r="N6" s="53">
        <v>36</v>
      </c>
      <c r="O6" s="58" t="s">
        <v>36</v>
      </c>
      <c r="P6" s="55">
        <v>60</v>
      </c>
      <c r="Q6" s="57" t="s">
        <v>35</v>
      </c>
      <c r="R6" s="56" t="s">
        <v>34</v>
      </c>
      <c r="S6" s="55" t="s">
        <v>33</v>
      </c>
      <c r="T6" s="54">
        <v>88.5</v>
      </c>
      <c r="U6" s="53" t="s">
        <v>32</v>
      </c>
      <c r="V6" s="249"/>
      <c r="W6" s="249"/>
    </row>
    <row r="7" spans="1:23" ht="14.25" customHeight="1" thickBot="1">
      <c r="A7" s="52" t="s">
        <v>25</v>
      </c>
      <c r="B7" s="51" t="s">
        <v>2</v>
      </c>
      <c r="C7" s="51" t="s">
        <v>2</v>
      </c>
      <c r="D7" s="50" t="s">
        <v>26</v>
      </c>
      <c r="E7" s="49">
        <v>401101</v>
      </c>
      <c r="F7" s="48">
        <v>401103</v>
      </c>
      <c r="G7" s="47">
        <v>401106</v>
      </c>
      <c r="H7" s="42">
        <v>402101</v>
      </c>
      <c r="I7" s="44">
        <v>402103</v>
      </c>
      <c r="J7" s="46">
        <v>406110</v>
      </c>
      <c r="K7" s="43">
        <v>406120</v>
      </c>
      <c r="L7" s="43" t="s">
        <v>31</v>
      </c>
      <c r="M7" s="45" t="s">
        <v>30</v>
      </c>
      <c r="N7" s="42" t="s">
        <v>29</v>
      </c>
      <c r="O7" s="43" t="s">
        <v>28</v>
      </c>
      <c r="P7" s="44" t="s">
        <v>27</v>
      </c>
      <c r="Q7" s="46">
        <v>408101</v>
      </c>
      <c r="R7" s="45"/>
      <c r="S7" s="44">
        <v>415104</v>
      </c>
      <c r="T7" s="43">
        <v>415201</v>
      </c>
      <c r="U7" s="42">
        <v>415307</v>
      </c>
      <c r="V7" s="41"/>
      <c r="W7" s="41"/>
    </row>
    <row r="8" spans="1:23">
      <c r="A8" s="40" t="s">
        <v>50</v>
      </c>
      <c r="B8" s="40" t="s">
        <v>51</v>
      </c>
      <c r="C8" s="40" t="s">
        <v>56</v>
      </c>
      <c r="D8" s="40">
        <v>2025</v>
      </c>
      <c r="E8" s="40">
        <v>145536.09375</v>
      </c>
      <c r="F8" s="40">
        <v>51808.62890625</v>
      </c>
      <c r="H8" s="40">
        <v>72817.796875</v>
      </c>
      <c r="I8" s="40">
        <v>40345.7392578125</v>
      </c>
      <c r="K8" s="40">
        <v>2145</v>
      </c>
      <c r="L8" s="40">
        <v>41314</v>
      </c>
      <c r="M8" s="40">
        <v>943.99000549316395</v>
      </c>
      <c r="N8" s="40">
        <v>30976.120529174801</v>
      </c>
      <c r="O8" s="40">
        <v>3300.0400390625</v>
      </c>
      <c r="R8" s="40">
        <v>94491.671875</v>
      </c>
      <c r="S8" s="40">
        <v>5625</v>
      </c>
      <c r="T8" s="40">
        <v>15095.669921875</v>
      </c>
      <c r="U8" s="40">
        <v>10768.7303466797</v>
      </c>
      <c r="V8" s="40">
        <v>139218.75</v>
      </c>
      <c r="W8" s="40">
        <v>96071.703369140596</v>
      </c>
    </row>
    <row r="9" spans="1:23">
      <c r="A9" s="40" t="s">
        <v>50</v>
      </c>
      <c r="B9" s="40" t="s">
        <v>51</v>
      </c>
      <c r="C9" s="40" t="s">
        <v>56</v>
      </c>
      <c r="D9" s="40">
        <v>2026</v>
      </c>
    </row>
    <row r="10" spans="1:23">
      <c r="A10" s="40" t="s">
        <v>50</v>
      </c>
      <c r="B10" s="40" t="s">
        <v>51</v>
      </c>
      <c r="C10" s="40" t="s">
        <v>56</v>
      </c>
      <c r="D10" s="40" t="s">
        <v>15</v>
      </c>
      <c r="E10" s="203">
        <v>-1</v>
      </c>
      <c r="F10" s="203">
        <v>-1</v>
      </c>
      <c r="G10" s="40" t="s">
        <v>161</v>
      </c>
      <c r="H10" s="203">
        <v>-1</v>
      </c>
      <c r="I10" s="203">
        <v>-1</v>
      </c>
      <c r="J10" s="40" t="s">
        <v>161</v>
      </c>
      <c r="K10" s="203">
        <v>-1</v>
      </c>
      <c r="L10" s="203">
        <v>-1</v>
      </c>
      <c r="M10" s="203">
        <v>-1</v>
      </c>
      <c r="N10" s="203">
        <v>-1</v>
      </c>
      <c r="O10" s="203">
        <v>-1</v>
      </c>
      <c r="P10" s="40" t="s">
        <v>161</v>
      </c>
      <c r="Q10" s="203" t="s">
        <v>161</v>
      </c>
      <c r="R10" s="203">
        <v>-1</v>
      </c>
      <c r="S10" s="203">
        <v>-1</v>
      </c>
      <c r="T10" s="203">
        <v>-1</v>
      </c>
      <c r="U10" s="203">
        <v>-1</v>
      </c>
      <c r="V10" s="203">
        <v>-1</v>
      </c>
      <c r="W10" s="203">
        <v>-1</v>
      </c>
    </row>
    <row r="11" spans="1:23">
      <c r="A11" s="40" t="s">
        <v>50</v>
      </c>
      <c r="B11" s="40" t="s">
        <v>52</v>
      </c>
      <c r="C11" s="40" t="s">
        <v>53</v>
      </c>
      <c r="D11" s="40">
        <v>2025</v>
      </c>
      <c r="E11" s="40">
        <v>31226.5</v>
      </c>
      <c r="F11" s="40">
        <v>20708.279296875</v>
      </c>
      <c r="H11" s="40">
        <v>12093.5</v>
      </c>
      <c r="I11" s="40">
        <v>11833.830078125</v>
      </c>
      <c r="L11" s="40">
        <v>11908</v>
      </c>
      <c r="M11" s="40">
        <v>-88.499997615814195</v>
      </c>
      <c r="N11" s="40">
        <v>-23565.2197265625</v>
      </c>
      <c r="O11" s="40">
        <v>-2640</v>
      </c>
      <c r="R11" s="40">
        <v>22496.879991531401</v>
      </c>
      <c r="S11" s="40">
        <v>-236.25</v>
      </c>
      <c r="T11" s="40">
        <v>2716.6600646972702</v>
      </c>
      <c r="V11" s="40">
        <v>16471.869140625</v>
      </c>
      <c r="W11" s="40">
        <v>7101.22021484375</v>
      </c>
    </row>
    <row r="12" spans="1:23">
      <c r="A12" s="40" t="s">
        <v>50</v>
      </c>
      <c r="B12" s="40" t="s">
        <v>52</v>
      </c>
      <c r="C12" s="40" t="s">
        <v>53</v>
      </c>
      <c r="D12" s="40">
        <v>2026</v>
      </c>
    </row>
    <row r="13" spans="1:23">
      <c r="A13" s="40" t="s">
        <v>50</v>
      </c>
      <c r="B13" s="40" t="s">
        <v>52</v>
      </c>
      <c r="C13" s="40" t="s">
        <v>53</v>
      </c>
      <c r="D13" s="40" t="s">
        <v>15</v>
      </c>
      <c r="E13" s="203">
        <v>-1</v>
      </c>
      <c r="F13" s="203">
        <v>-1</v>
      </c>
      <c r="G13" s="40" t="s">
        <v>161</v>
      </c>
      <c r="H13" s="203">
        <v>-1</v>
      </c>
      <c r="I13" s="203">
        <v>-1</v>
      </c>
      <c r="J13" s="203" t="s">
        <v>161</v>
      </c>
      <c r="K13" s="203" t="s">
        <v>161</v>
      </c>
      <c r="L13" s="203">
        <v>-1</v>
      </c>
      <c r="M13" s="203">
        <v>-1</v>
      </c>
      <c r="N13" s="203">
        <v>-1</v>
      </c>
      <c r="O13" s="203">
        <v>-1</v>
      </c>
      <c r="P13" s="40" t="s">
        <v>161</v>
      </c>
      <c r="Q13" s="203" t="s">
        <v>161</v>
      </c>
      <c r="R13" s="203">
        <v>-1</v>
      </c>
      <c r="S13" s="203">
        <v>-1</v>
      </c>
      <c r="T13" s="203">
        <v>-1</v>
      </c>
      <c r="U13" s="203" t="s">
        <v>161</v>
      </c>
      <c r="V13" s="203">
        <v>-1</v>
      </c>
      <c r="W13" s="203">
        <v>-1</v>
      </c>
    </row>
    <row r="14" spans="1:23">
      <c r="A14" s="40" t="s">
        <v>50</v>
      </c>
      <c r="B14" s="40" t="s">
        <v>170</v>
      </c>
      <c r="C14" s="40" t="s">
        <v>54</v>
      </c>
      <c r="D14" s="40">
        <v>2025</v>
      </c>
      <c r="E14" s="40">
        <v>100085.2734375</v>
      </c>
      <c r="F14" s="40">
        <v>52638.78125</v>
      </c>
      <c r="H14" s="40">
        <v>41129.8203125</v>
      </c>
      <c r="I14" s="40">
        <v>22108.969848632802</v>
      </c>
      <c r="K14" s="40">
        <v>10400</v>
      </c>
      <c r="L14" s="40">
        <v>10712</v>
      </c>
      <c r="M14" s="40">
        <v>943.98001098632801</v>
      </c>
      <c r="O14" s="40">
        <v>8040.1201171875</v>
      </c>
      <c r="Q14" s="40">
        <v>6105</v>
      </c>
      <c r="R14" s="40">
        <v>63690.871374130198</v>
      </c>
      <c r="S14" s="40">
        <v>2250</v>
      </c>
      <c r="T14" s="40">
        <v>16353.7099609375</v>
      </c>
      <c r="V14" s="40">
        <v>59872.5</v>
      </c>
      <c r="W14" s="40">
        <v>8218.56005859375</v>
      </c>
    </row>
    <row r="15" spans="1:23">
      <c r="A15" s="40" t="s">
        <v>50</v>
      </c>
      <c r="B15" s="40" t="s">
        <v>170</v>
      </c>
      <c r="C15" s="40" t="s">
        <v>54</v>
      </c>
      <c r="D15" s="40">
        <v>2026</v>
      </c>
    </row>
    <row r="16" spans="1:23">
      <c r="A16" s="40" t="s">
        <v>50</v>
      </c>
      <c r="B16" s="40" t="s">
        <v>170</v>
      </c>
      <c r="C16" s="40" t="s">
        <v>54</v>
      </c>
      <c r="D16" s="40" t="s">
        <v>15</v>
      </c>
      <c r="E16" s="203">
        <v>-1</v>
      </c>
      <c r="F16" s="203">
        <v>-1</v>
      </c>
      <c r="G16" s="40" t="s">
        <v>161</v>
      </c>
      <c r="H16" s="203">
        <v>-1</v>
      </c>
      <c r="I16" s="203">
        <v>-1</v>
      </c>
      <c r="J16" s="203" t="s">
        <v>161</v>
      </c>
      <c r="K16" s="203">
        <v>-1</v>
      </c>
      <c r="L16" s="203">
        <v>-1</v>
      </c>
      <c r="M16" s="203">
        <v>-1</v>
      </c>
      <c r="N16" s="203" t="s">
        <v>161</v>
      </c>
      <c r="O16" s="203">
        <v>-1</v>
      </c>
      <c r="P16" s="40" t="s">
        <v>161</v>
      </c>
      <c r="Q16" s="203">
        <v>-1</v>
      </c>
      <c r="R16" s="203">
        <v>-1</v>
      </c>
      <c r="S16" s="203">
        <v>-1</v>
      </c>
      <c r="T16" s="203">
        <v>-1</v>
      </c>
      <c r="U16" s="40" t="s">
        <v>161</v>
      </c>
      <c r="V16" s="203">
        <v>-1</v>
      </c>
      <c r="W16" s="203">
        <v>-1</v>
      </c>
    </row>
    <row r="17" spans="1:23">
      <c r="A17" s="40" t="s">
        <v>50</v>
      </c>
      <c r="B17" s="40" t="s">
        <v>173</v>
      </c>
      <c r="C17" s="40" t="s">
        <v>163</v>
      </c>
      <c r="D17" s="40">
        <v>2025</v>
      </c>
    </row>
    <row r="18" spans="1:23">
      <c r="A18" s="40" t="s">
        <v>50</v>
      </c>
      <c r="B18" s="40" t="s">
        <v>173</v>
      </c>
      <c r="C18" s="40" t="s">
        <v>115</v>
      </c>
      <c r="D18" s="40">
        <v>2026</v>
      </c>
    </row>
    <row r="19" spans="1:23">
      <c r="A19" s="40" t="s">
        <v>50</v>
      </c>
      <c r="B19" s="40" t="s">
        <v>173</v>
      </c>
      <c r="C19" s="40" t="s">
        <v>115</v>
      </c>
      <c r="D19" s="40" t="s">
        <v>15</v>
      </c>
      <c r="E19" s="203" t="s">
        <v>161</v>
      </c>
      <c r="F19" s="203" t="s">
        <v>161</v>
      </c>
      <c r="G19" s="40" t="s">
        <v>161</v>
      </c>
      <c r="H19" s="203" t="s">
        <v>161</v>
      </c>
      <c r="I19" s="203" t="s">
        <v>161</v>
      </c>
      <c r="J19" s="40" t="s">
        <v>161</v>
      </c>
      <c r="K19" s="203" t="s">
        <v>161</v>
      </c>
      <c r="L19" s="203" t="s">
        <v>161</v>
      </c>
      <c r="M19" s="203" t="s">
        <v>161</v>
      </c>
      <c r="N19" s="203" t="s">
        <v>161</v>
      </c>
      <c r="O19" s="203" t="s">
        <v>161</v>
      </c>
      <c r="P19" s="40" t="s">
        <v>161</v>
      </c>
      <c r="Q19" s="203" t="s">
        <v>161</v>
      </c>
      <c r="R19" s="203" t="s">
        <v>161</v>
      </c>
      <c r="S19" s="203" t="s">
        <v>161</v>
      </c>
      <c r="T19" s="203" t="s">
        <v>161</v>
      </c>
      <c r="U19" s="203" t="s">
        <v>161</v>
      </c>
      <c r="V19" s="203" t="s">
        <v>161</v>
      </c>
      <c r="W19" s="203" t="s">
        <v>161</v>
      </c>
    </row>
    <row r="20" spans="1:23">
      <c r="A20" s="40" t="s">
        <v>50</v>
      </c>
      <c r="B20" s="40" t="s">
        <v>171</v>
      </c>
      <c r="C20" s="40" t="s">
        <v>163</v>
      </c>
      <c r="D20" s="40">
        <v>2025</v>
      </c>
    </row>
    <row r="21" spans="1:23">
      <c r="A21" s="40" t="s">
        <v>50</v>
      </c>
      <c r="B21" s="40" t="s">
        <v>171</v>
      </c>
      <c r="C21" s="40" t="s">
        <v>172</v>
      </c>
      <c r="D21" s="40">
        <v>2026</v>
      </c>
    </row>
    <row r="22" spans="1:23">
      <c r="A22" s="40" t="s">
        <v>50</v>
      </c>
      <c r="B22" s="40" t="s">
        <v>171</v>
      </c>
      <c r="C22" s="40" t="s">
        <v>172</v>
      </c>
      <c r="D22" s="40" t="s">
        <v>15</v>
      </c>
      <c r="E22" s="203" t="s">
        <v>161</v>
      </c>
      <c r="F22" s="203" t="s">
        <v>161</v>
      </c>
      <c r="G22" s="40" t="s">
        <v>161</v>
      </c>
      <c r="H22" s="203" t="s">
        <v>161</v>
      </c>
      <c r="I22" s="203" t="s">
        <v>161</v>
      </c>
      <c r="J22" s="203" t="s">
        <v>161</v>
      </c>
      <c r="K22" s="203" t="s">
        <v>161</v>
      </c>
      <c r="L22" s="203" t="s">
        <v>161</v>
      </c>
      <c r="M22" s="203" t="s">
        <v>161</v>
      </c>
      <c r="N22" s="203" t="s">
        <v>161</v>
      </c>
      <c r="O22" s="203" t="s">
        <v>161</v>
      </c>
      <c r="P22" s="40" t="s">
        <v>161</v>
      </c>
      <c r="Q22" s="203" t="s">
        <v>161</v>
      </c>
      <c r="R22" s="203" t="s">
        <v>161</v>
      </c>
      <c r="S22" s="203" t="s">
        <v>161</v>
      </c>
      <c r="T22" s="203" t="s">
        <v>161</v>
      </c>
      <c r="U22" s="203" t="s">
        <v>161</v>
      </c>
      <c r="V22" s="203" t="s">
        <v>161</v>
      </c>
      <c r="W22" s="203" t="s">
        <v>161</v>
      </c>
    </row>
    <row r="23" spans="1:23">
      <c r="A23" s="40" t="s">
        <v>50</v>
      </c>
      <c r="B23" s="40" t="s">
        <v>192</v>
      </c>
      <c r="C23" s="40" t="s">
        <v>163</v>
      </c>
      <c r="D23" s="40">
        <v>2025</v>
      </c>
    </row>
    <row r="24" spans="1:23">
      <c r="A24" s="40" t="s">
        <v>50</v>
      </c>
      <c r="B24" s="40" t="s">
        <v>192</v>
      </c>
      <c r="C24" s="40" t="s">
        <v>193</v>
      </c>
      <c r="D24" s="40">
        <v>2026</v>
      </c>
      <c r="E24" s="40">
        <v>513.44000244140602</v>
      </c>
      <c r="H24" s="40">
        <v>226.38999938964801</v>
      </c>
      <c r="L24" s="40">
        <v>187.669998168945</v>
      </c>
      <c r="M24" s="40">
        <v>46.310000419616699</v>
      </c>
      <c r="N24" s="40">
        <v>334.23000335693399</v>
      </c>
      <c r="O24" s="40">
        <v>150.80000114440901</v>
      </c>
      <c r="R24" s="40">
        <v>536.03000640869095</v>
      </c>
      <c r="S24" s="40">
        <v>22.459999084472699</v>
      </c>
      <c r="V24" s="40">
        <v>968.739990234375</v>
      </c>
      <c r="W24" s="40">
        <v>127.40000152587901</v>
      </c>
    </row>
    <row r="25" spans="1:23">
      <c r="A25" s="40" t="s">
        <v>50</v>
      </c>
      <c r="B25" s="40" t="s">
        <v>192</v>
      </c>
      <c r="C25" s="40" t="s">
        <v>193</v>
      </c>
      <c r="D25" s="40" t="s">
        <v>15</v>
      </c>
      <c r="E25" s="203" t="s">
        <v>161</v>
      </c>
      <c r="F25" s="203" t="s">
        <v>161</v>
      </c>
      <c r="G25" s="40" t="s">
        <v>161</v>
      </c>
      <c r="H25" s="203" t="s">
        <v>161</v>
      </c>
      <c r="I25" s="203" t="s">
        <v>161</v>
      </c>
      <c r="J25" s="40" t="s">
        <v>161</v>
      </c>
      <c r="K25" s="203" t="s">
        <v>161</v>
      </c>
      <c r="L25" s="203" t="s">
        <v>161</v>
      </c>
      <c r="M25" s="203" t="s">
        <v>161</v>
      </c>
      <c r="N25" s="203" t="s">
        <v>161</v>
      </c>
      <c r="O25" s="203" t="s">
        <v>161</v>
      </c>
      <c r="P25" s="40" t="s">
        <v>161</v>
      </c>
      <c r="Q25" s="203" t="s">
        <v>161</v>
      </c>
      <c r="R25" s="203" t="s">
        <v>161</v>
      </c>
      <c r="S25" s="203" t="s">
        <v>161</v>
      </c>
      <c r="T25" s="203" t="s">
        <v>161</v>
      </c>
      <c r="U25" s="203" t="s">
        <v>161</v>
      </c>
      <c r="V25" s="203" t="s">
        <v>161</v>
      </c>
      <c r="W25" s="203" t="s">
        <v>161</v>
      </c>
    </row>
    <row r="26" spans="1:23">
      <c r="A26" s="40" t="s">
        <v>50</v>
      </c>
      <c r="B26" s="40" t="s">
        <v>120</v>
      </c>
      <c r="C26" s="40" t="s">
        <v>120</v>
      </c>
      <c r="D26" s="40">
        <v>2025</v>
      </c>
      <c r="E26" s="40">
        <v>11.960000038146999</v>
      </c>
      <c r="F26" s="40">
        <v>45.5</v>
      </c>
      <c r="H26" s="40">
        <v>9.5699996948242205</v>
      </c>
      <c r="I26" s="40">
        <v>43.170000076293903</v>
      </c>
      <c r="Q26" s="40">
        <v>11.3800001144409</v>
      </c>
      <c r="V26" s="40">
        <v>9.8000001907348597</v>
      </c>
    </row>
    <row r="27" spans="1:23">
      <c r="A27" s="40" t="s">
        <v>50</v>
      </c>
      <c r="B27" s="40" t="s">
        <v>120</v>
      </c>
      <c r="C27" s="40" t="s">
        <v>120</v>
      </c>
      <c r="D27" s="40">
        <v>2026</v>
      </c>
      <c r="F27" s="40">
        <v>11833.830078125</v>
      </c>
      <c r="R27" s="40">
        <v>3450</v>
      </c>
    </row>
    <row r="28" spans="1:23">
      <c r="A28" s="40" t="s">
        <v>50</v>
      </c>
      <c r="B28" s="40" t="s">
        <v>120</v>
      </c>
      <c r="C28" s="40" t="s">
        <v>120</v>
      </c>
      <c r="D28" s="40" t="s">
        <v>15</v>
      </c>
      <c r="E28" s="203">
        <v>-1</v>
      </c>
      <c r="F28" s="203" t="s">
        <v>210</v>
      </c>
      <c r="G28" s="40" t="s">
        <v>161</v>
      </c>
      <c r="H28" s="203">
        <v>-1</v>
      </c>
      <c r="I28" s="203">
        <v>-1</v>
      </c>
      <c r="J28" s="203" t="s">
        <v>161</v>
      </c>
      <c r="K28" s="203" t="s">
        <v>161</v>
      </c>
      <c r="L28" s="203" t="s">
        <v>161</v>
      </c>
      <c r="M28" s="203" t="s">
        <v>161</v>
      </c>
      <c r="N28" s="203" t="s">
        <v>161</v>
      </c>
      <c r="O28" s="203" t="s">
        <v>161</v>
      </c>
      <c r="P28" s="40" t="s">
        <v>161</v>
      </c>
      <c r="Q28" s="203">
        <v>-1</v>
      </c>
      <c r="R28" s="203" t="s">
        <v>161</v>
      </c>
      <c r="S28" s="203" t="s">
        <v>161</v>
      </c>
      <c r="T28" s="203" t="s">
        <v>161</v>
      </c>
      <c r="U28" s="203" t="s">
        <v>161</v>
      </c>
      <c r="V28" s="203">
        <v>-1</v>
      </c>
      <c r="W28" s="203" t="s">
        <v>161</v>
      </c>
    </row>
    <row r="29" spans="1:23">
      <c r="A29" s="40" t="s">
        <v>50</v>
      </c>
      <c r="B29" s="40" t="s">
        <v>107</v>
      </c>
      <c r="C29" s="40" t="s">
        <v>153</v>
      </c>
      <c r="D29" s="40">
        <v>2025</v>
      </c>
      <c r="E29" s="40">
        <v>11784.7802734375</v>
      </c>
      <c r="F29" s="40">
        <v>9231.6201171875</v>
      </c>
      <c r="H29" s="40">
        <v>6316.47021484375</v>
      </c>
      <c r="I29" s="40">
        <v>5186.06005859375</v>
      </c>
      <c r="J29" s="40">
        <v>1469.25</v>
      </c>
      <c r="K29" s="40">
        <v>68.330001831054702</v>
      </c>
      <c r="L29" s="40">
        <v>5172.4000854492197</v>
      </c>
      <c r="M29" s="40">
        <v>926.69999217987095</v>
      </c>
      <c r="N29" s="40">
        <v>1189.97999572754</v>
      </c>
      <c r="O29" s="40">
        <v>12243.790050506601</v>
      </c>
      <c r="Q29" s="40">
        <v>656.5</v>
      </c>
      <c r="R29" s="40">
        <v>14429.489852905301</v>
      </c>
      <c r="S29" s="40">
        <v>412.54000854492199</v>
      </c>
      <c r="T29" s="40">
        <v>596.65999031066895</v>
      </c>
      <c r="U29" s="40">
        <v>2387</v>
      </c>
      <c r="V29" s="40">
        <v>7551.06982421875</v>
      </c>
      <c r="W29" s="40">
        <v>2265.5999984741202</v>
      </c>
    </row>
    <row r="30" spans="1:23">
      <c r="A30" s="40" t="s">
        <v>50</v>
      </c>
      <c r="B30" s="40" t="s">
        <v>107</v>
      </c>
      <c r="C30" s="40" t="s">
        <v>153</v>
      </c>
      <c r="D30" s="40">
        <v>2026</v>
      </c>
      <c r="E30" s="40">
        <v>1241.31994628906</v>
      </c>
      <c r="F30" s="40">
        <v>880.52001953125</v>
      </c>
      <c r="H30" s="40">
        <v>876.09002685546898</v>
      </c>
      <c r="I30" s="40">
        <v>587.77998352050804</v>
      </c>
      <c r="J30" s="40">
        <v>34.169998168945298</v>
      </c>
      <c r="K30" s="40">
        <v>136.67999267578099</v>
      </c>
      <c r="L30" s="40">
        <v>297.87999343872099</v>
      </c>
      <c r="M30" s="40">
        <v>168.009997367859</v>
      </c>
      <c r="N30" s="40">
        <v>97.919998168945298</v>
      </c>
      <c r="O30" s="40">
        <v>1196.3399925231899</v>
      </c>
      <c r="Q30" s="40">
        <v>97.5</v>
      </c>
      <c r="R30" s="40">
        <v>1673.83998298645</v>
      </c>
      <c r="S30" s="40">
        <v>22.920000076293899</v>
      </c>
      <c r="T30" s="40">
        <v>1055.63000488281</v>
      </c>
      <c r="U30" s="40">
        <v>473</v>
      </c>
      <c r="V30" s="40">
        <v>1099.42004394531</v>
      </c>
      <c r="W30" s="40">
        <v>520</v>
      </c>
    </row>
    <row r="31" spans="1:23">
      <c r="A31" s="40" t="s">
        <v>50</v>
      </c>
      <c r="B31" s="40" t="s">
        <v>107</v>
      </c>
      <c r="C31" s="40" t="s">
        <v>153</v>
      </c>
      <c r="D31" s="40" t="s">
        <v>15</v>
      </c>
      <c r="E31" s="203">
        <v>-0.89</v>
      </c>
      <c r="F31" s="203">
        <v>-0.9</v>
      </c>
      <c r="G31" s="40" t="s">
        <v>161</v>
      </c>
      <c r="H31" s="203">
        <v>-0.86</v>
      </c>
      <c r="I31" s="203">
        <v>-0.89</v>
      </c>
      <c r="J31" s="203">
        <v>-0.98</v>
      </c>
      <c r="K31" s="203">
        <v>1</v>
      </c>
      <c r="L31" s="203">
        <v>-0.94</v>
      </c>
      <c r="M31" s="203">
        <v>-0.82</v>
      </c>
      <c r="N31" s="203">
        <v>-0.92</v>
      </c>
      <c r="O31" s="203">
        <v>-0.9</v>
      </c>
      <c r="P31" s="40" t="s">
        <v>161</v>
      </c>
      <c r="Q31" s="203">
        <v>-0.85</v>
      </c>
      <c r="R31" s="203">
        <v>-0.88</v>
      </c>
      <c r="S31" s="203">
        <v>-0.94</v>
      </c>
      <c r="T31" s="203">
        <v>0.77</v>
      </c>
      <c r="U31" s="203">
        <v>-0.8</v>
      </c>
      <c r="V31" s="203">
        <v>-0.85</v>
      </c>
      <c r="W31" s="203">
        <v>-0.77</v>
      </c>
    </row>
    <row r="32" spans="1:23">
      <c r="A32" s="40" t="s">
        <v>50</v>
      </c>
      <c r="B32" s="40" t="s">
        <v>108</v>
      </c>
      <c r="C32" s="40" t="s">
        <v>142</v>
      </c>
      <c r="D32" s="40">
        <v>2025</v>
      </c>
    </row>
    <row r="33" spans="1:23">
      <c r="A33" s="40" t="s">
        <v>50</v>
      </c>
      <c r="B33" s="40" t="s">
        <v>108</v>
      </c>
      <c r="C33" s="40" t="s">
        <v>142</v>
      </c>
      <c r="D33" s="40">
        <v>2026</v>
      </c>
    </row>
    <row r="34" spans="1:23">
      <c r="A34" s="40" t="s">
        <v>50</v>
      </c>
      <c r="B34" s="40" t="s">
        <v>108</v>
      </c>
      <c r="C34" s="40" t="s">
        <v>142</v>
      </c>
      <c r="D34" s="40" t="s">
        <v>15</v>
      </c>
      <c r="E34" s="203" t="s">
        <v>161</v>
      </c>
      <c r="F34" s="203" t="s">
        <v>161</v>
      </c>
      <c r="G34" s="40" t="s">
        <v>161</v>
      </c>
      <c r="H34" s="203" t="s">
        <v>161</v>
      </c>
      <c r="I34" s="203" t="s">
        <v>161</v>
      </c>
      <c r="J34" s="203" t="s">
        <v>161</v>
      </c>
      <c r="K34" s="203" t="s">
        <v>161</v>
      </c>
      <c r="L34" s="203" t="s">
        <v>161</v>
      </c>
      <c r="M34" s="203" t="s">
        <v>161</v>
      </c>
      <c r="N34" s="203" t="s">
        <v>161</v>
      </c>
      <c r="O34" s="203" t="s">
        <v>161</v>
      </c>
      <c r="P34" s="40" t="s">
        <v>161</v>
      </c>
      <c r="Q34" s="203" t="s">
        <v>161</v>
      </c>
      <c r="R34" s="203" t="s">
        <v>161</v>
      </c>
      <c r="S34" s="203" t="s">
        <v>161</v>
      </c>
      <c r="T34" s="203" t="s">
        <v>161</v>
      </c>
      <c r="U34" s="203" t="s">
        <v>161</v>
      </c>
      <c r="V34" s="203" t="s">
        <v>161</v>
      </c>
      <c r="W34" s="203" t="s">
        <v>161</v>
      </c>
    </row>
    <row r="35" spans="1:23">
      <c r="A35" s="40" t="s">
        <v>50</v>
      </c>
      <c r="B35" s="40" t="s">
        <v>109</v>
      </c>
      <c r="C35" s="40" t="s">
        <v>114</v>
      </c>
      <c r="D35" s="40">
        <v>2025</v>
      </c>
      <c r="E35" s="40">
        <v>3600.68994140625</v>
      </c>
      <c r="F35" s="40">
        <v>2352.830078125</v>
      </c>
      <c r="H35" s="40">
        <v>1286.92004394531</v>
      </c>
      <c r="I35" s="40">
        <v>799.469970703125</v>
      </c>
      <c r="J35" s="40">
        <v>136.669998168945</v>
      </c>
      <c r="L35" s="40">
        <v>677.06001281738304</v>
      </c>
      <c r="M35" s="40">
        <v>249.36999893188499</v>
      </c>
      <c r="N35" s="40">
        <v>155.00999450683599</v>
      </c>
      <c r="O35" s="40">
        <v>1989.3300018310499</v>
      </c>
      <c r="Q35" s="40">
        <v>399.75</v>
      </c>
      <c r="R35" s="40">
        <v>786.50000762939499</v>
      </c>
      <c r="S35" s="40">
        <v>160.419998168945</v>
      </c>
      <c r="T35" s="40">
        <v>87.330001831054702</v>
      </c>
      <c r="U35" s="40">
        <v>352</v>
      </c>
      <c r="V35" s="40">
        <v>1086.25</v>
      </c>
    </row>
    <row r="36" spans="1:23">
      <c r="A36" s="40" t="s">
        <v>50</v>
      </c>
      <c r="B36" s="40" t="s">
        <v>109</v>
      </c>
      <c r="C36" s="40" t="s">
        <v>114</v>
      </c>
      <c r="D36" s="40">
        <v>2026</v>
      </c>
      <c r="E36" s="40">
        <v>1376.91003417969</v>
      </c>
      <c r="F36" s="40">
        <v>1534.39001464844</v>
      </c>
      <c r="H36" s="40">
        <v>1173.14001464844</v>
      </c>
      <c r="I36" s="40">
        <v>1290.14001464844</v>
      </c>
      <c r="K36" s="40">
        <v>102.5</v>
      </c>
      <c r="L36" s="40">
        <v>-4089.65016174316</v>
      </c>
      <c r="M36" s="40">
        <v>241.5</v>
      </c>
      <c r="N36" s="40">
        <v>272.099994659424</v>
      </c>
      <c r="O36" s="40">
        <v>1443.7000255584701</v>
      </c>
      <c r="Q36" s="40">
        <v>97.5</v>
      </c>
      <c r="R36" s="40">
        <v>3408.1899719238299</v>
      </c>
      <c r="S36" s="40">
        <v>22.920000076293899</v>
      </c>
      <c r="U36" s="40">
        <v>330</v>
      </c>
      <c r="V36" s="40">
        <v>1777.5</v>
      </c>
      <c r="W36" s="40">
        <v>780</v>
      </c>
    </row>
    <row r="37" spans="1:23">
      <c r="A37" s="40" t="s">
        <v>50</v>
      </c>
      <c r="B37" s="40" t="s">
        <v>109</v>
      </c>
      <c r="C37" s="40" t="s">
        <v>114</v>
      </c>
      <c r="D37" s="40" t="s">
        <v>15</v>
      </c>
      <c r="E37" s="203">
        <v>-0.62</v>
      </c>
      <c r="F37" s="203">
        <v>-0.35</v>
      </c>
      <c r="G37" s="40" t="s">
        <v>161</v>
      </c>
      <c r="H37" s="203">
        <v>-0.09</v>
      </c>
      <c r="I37" s="203">
        <v>0.61</v>
      </c>
      <c r="J37" s="203">
        <v>-1</v>
      </c>
      <c r="K37" s="203" t="s">
        <v>161</v>
      </c>
      <c r="L37" s="203">
        <v>-7.04</v>
      </c>
      <c r="M37" s="203">
        <v>-0.03</v>
      </c>
      <c r="N37" s="203">
        <v>0.76</v>
      </c>
      <c r="O37" s="203">
        <v>-0.27</v>
      </c>
      <c r="P37" s="40" t="s">
        <v>161</v>
      </c>
      <c r="Q37" s="203">
        <v>-0.76</v>
      </c>
      <c r="R37" s="203">
        <v>3.33</v>
      </c>
      <c r="S37" s="203">
        <v>-0.86</v>
      </c>
      <c r="T37" s="203">
        <v>-1</v>
      </c>
      <c r="U37" s="203">
        <v>-0.06</v>
      </c>
      <c r="V37" s="203">
        <v>0.64</v>
      </c>
      <c r="W37" s="203" t="s">
        <v>161</v>
      </c>
    </row>
    <row r="38" spans="1:23">
      <c r="A38" s="40" t="s">
        <v>50</v>
      </c>
      <c r="B38" s="40" t="s">
        <v>110</v>
      </c>
      <c r="C38" s="40" t="s">
        <v>158</v>
      </c>
      <c r="D38" s="40">
        <v>2025</v>
      </c>
      <c r="E38" s="40">
        <v>6923.25</v>
      </c>
      <c r="F38" s="40">
        <v>6857.89013671875</v>
      </c>
      <c r="H38" s="40">
        <v>4499.2900390625</v>
      </c>
      <c r="I38" s="40">
        <v>2903.56005859375</v>
      </c>
      <c r="J38" s="40">
        <v>136.67999267578099</v>
      </c>
      <c r="K38" s="40">
        <v>478.36999511718801</v>
      </c>
      <c r="L38" s="40">
        <v>3791.3700256347702</v>
      </c>
      <c r="M38" s="40">
        <v>1084.1600112915</v>
      </c>
      <c r="N38" s="40">
        <v>155.00999450683599</v>
      </c>
      <c r="O38" s="40">
        <v>2005.27003288269</v>
      </c>
      <c r="Q38" s="40">
        <v>1163.5</v>
      </c>
      <c r="R38" s="40">
        <v>13552.0798950195</v>
      </c>
      <c r="V38" s="40">
        <v>4081.669921875</v>
      </c>
      <c r="W38" s="40">
        <v>937.08000183105503</v>
      </c>
    </row>
    <row r="39" spans="1:23">
      <c r="A39" s="40" t="s">
        <v>50</v>
      </c>
      <c r="B39" s="40" t="s">
        <v>110</v>
      </c>
      <c r="C39" s="40" t="s">
        <v>158</v>
      </c>
      <c r="D39" s="40">
        <v>2026</v>
      </c>
    </row>
    <row r="40" spans="1:23">
      <c r="A40" s="40" t="s">
        <v>50</v>
      </c>
      <c r="B40" s="40" t="s">
        <v>110</v>
      </c>
      <c r="C40" s="40" t="s">
        <v>158</v>
      </c>
      <c r="D40" s="40" t="s">
        <v>15</v>
      </c>
      <c r="E40" s="203">
        <v>-1</v>
      </c>
      <c r="F40" s="203">
        <v>-1</v>
      </c>
      <c r="G40" s="40" t="s">
        <v>161</v>
      </c>
      <c r="H40" s="203">
        <v>-1</v>
      </c>
      <c r="I40" s="203">
        <v>-1</v>
      </c>
      <c r="J40" s="203">
        <v>-1</v>
      </c>
      <c r="K40" s="203">
        <v>-1</v>
      </c>
      <c r="L40" s="203">
        <v>-1</v>
      </c>
      <c r="M40" s="203">
        <v>-1</v>
      </c>
      <c r="N40" s="203">
        <v>-1</v>
      </c>
      <c r="O40" s="203">
        <v>-1</v>
      </c>
      <c r="P40" s="40" t="s">
        <v>161</v>
      </c>
      <c r="Q40" s="203">
        <v>-1</v>
      </c>
      <c r="R40" s="203">
        <v>-1</v>
      </c>
      <c r="S40" s="203" t="s">
        <v>161</v>
      </c>
      <c r="T40" s="203" t="s">
        <v>161</v>
      </c>
      <c r="U40" s="203" t="s">
        <v>161</v>
      </c>
      <c r="V40" s="203">
        <v>-1</v>
      </c>
      <c r="W40" s="203">
        <v>-1</v>
      </c>
    </row>
    <row r="41" spans="1:23">
      <c r="A41" s="40" t="s">
        <v>50</v>
      </c>
      <c r="B41" s="40" t="s">
        <v>136</v>
      </c>
      <c r="C41" s="40" t="s">
        <v>131</v>
      </c>
      <c r="D41" s="40">
        <v>2025</v>
      </c>
      <c r="E41" s="40">
        <v>8599.6298828125</v>
      </c>
      <c r="F41" s="40">
        <v>5716.990234375</v>
      </c>
      <c r="H41" s="40">
        <v>5236.2900390625</v>
      </c>
      <c r="I41" s="40">
        <v>2973.60009765625</v>
      </c>
      <c r="J41" s="40">
        <v>512.530029296875</v>
      </c>
      <c r="L41" s="40">
        <v>5605.8800048828098</v>
      </c>
      <c r="M41" s="40">
        <v>336.02999877929699</v>
      </c>
      <c r="N41" s="40">
        <v>1877.0099639892601</v>
      </c>
      <c r="O41" s="40">
        <v>840</v>
      </c>
      <c r="Q41" s="40">
        <v>1137.5</v>
      </c>
      <c r="R41" s="40">
        <v>7824.3099365234402</v>
      </c>
      <c r="S41" s="40">
        <v>22.920000076293899</v>
      </c>
      <c r="T41" s="40">
        <v>134.41000366210901</v>
      </c>
      <c r="V41" s="40">
        <v>7215.35009765625</v>
      </c>
      <c r="W41" s="40">
        <v>65</v>
      </c>
    </row>
    <row r="42" spans="1:23">
      <c r="A42" s="40" t="s">
        <v>50</v>
      </c>
      <c r="B42" s="40" t="s">
        <v>136</v>
      </c>
      <c r="C42" s="40" t="s">
        <v>131</v>
      </c>
      <c r="D42" s="40">
        <v>2026</v>
      </c>
      <c r="E42" s="40">
        <v>797.94000244140602</v>
      </c>
      <c r="F42" s="40">
        <v>519.64001464843795</v>
      </c>
      <c r="H42" s="40">
        <v>607.39001464843795</v>
      </c>
      <c r="I42" s="40">
        <v>231.88000488281301</v>
      </c>
      <c r="L42" s="40">
        <v>162.499998092651</v>
      </c>
      <c r="N42" s="40">
        <v>-138</v>
      </c>
      <c r="O42" s="40">
        <v>260</v>
      </c>
      <c r="Q42" s="40">
        <v>292.5</v>
      </c>
      <c r="R42" s="40">
        <v>1562.73000144958</v>
      </c>
      <c r="V42" s="40">
        <v>1007.23999023438</v>
      </c>
      <c r="W42" s="40">
        <v>65</v>
      </c>
    </row>
    <row r="43" spans="1:23">
      <c r="A43" s="40" t="s">
        <v>50</v>
      </c>
      <c r="B43" s="40" t="s">
        <v>136</v>
      </c>
      <c r="C43" s="40" t="s">
        <v>131</v>
      </c>
      <c r="D43" s="40" t="s">
        <v>15</v>
      </c>
      <c r="E43" s="203">
        <v>-0.91</v>
      </c>
      <c r="F43" s="203">
        <v>-0.91</v>
      </c>
      <c r="G43" s="40" t="s">
        <v>161</v>
      </c>
      <c r="H43" s="203">
        <v>-0.88</v>
      </c>
      <c r="I43" s="203">
        <v>-0.92</v>
      </c>
      <c r="J43" s="203">
        <v>-1</v>
      </c>
      <c r="K43" s="203" t="s">
        <v>161</v>
      </c>
      <c r="L43" s="203">
        <v>-0.97</v>
      </c>
      <c r="M43" s="203">
        <v>-1</v>
      </c>
      <c r="N43" s="203">
        <v>-1.07</v>
      </c>
      <c r="O43" s="203">
        <v>-0.69</v>
      </c>
      <c r="P43" s="40" t="s">
        <v>161</v>
      </c>
      <c r="Q43" s="203">
        <v>-0.74</v>
      </c>
      <c r="R43" s="203">
        <v>-0.8</v>
      </c>
      <c r="S43" s="203">
        <v>-1</v>
      </c>
      <c r="T43" s="203">
        <v>-1</v>
      </c>
      <c r="U43" s="203" t="s">
        <v>161</v>
      </c>
      <c r="V43" s="203">
        <v>-0.86</v>
      </c>
      <c r="W43" s="203">
        <v>0</v>
      </c>
    </row>
    <row r="44" spans="1:23">
      <c r="A44" s="40" t="s">
        <v>50</v>
      </c>
      <c r="B44" s="40" t="s">
        <v>164</v>
      </c>
      <c r="C44" s="40" t="s">
        <v>137</v>
      </c>
      <c r="D44" s="40">
        <v>2025</v>
      </c>
      <c r="E44" s="40">
        <v>14550.1396484375</v>
      </c>
      <c r="F44" s="40">
        <v>7881.93017578125</v>
      </c>
      <c r="H44" s="40">
        <v>8544.2998046875</v>
      </c>
      <c r="I44" s="40">
        <v>5820.6999511718795</v>
      </c>
      <c r="L44" s="40">
        <v>3141.5599975585901</v>
      </c>
      <c r="M44" s="40">
        <v>456.73999500274698</v>
      </c>
      <c r="N44" s="40">
        <v>362.66999816894503</v>
      </c>
      <c r="O44" s="40">
        <v>9771.6797313690204</v>
      </c>
      <c r="Q44" s="40">
        <v>1329.25</v>
      </c>
      <c r="R44" s="40">
        <v>17615.560058593801</v>
      </c>
      <c r="S44" s="40">
        <v>343.75</v>
      </c>
      <c r="T44" s="40">
        <v>4259.43994140625</v>
      </c>
      <c r="U44" s="40">
        <v>330</v>
      </c>
      <c r="V44" s="40">
        <v>11954.4699707031</v>
      </c>
      <c r="W44" s="40">
        <v>1105</v>
      </c>
    </row>
    <row r="45" spans="1:23">
      <c r="A45" s="40" t="s">
        <v>50</v>
      </c>
      <c r="B45" s="40" t="s">
        <v>164</v>
      </c>
      <c r="C45" s="40" t="s">
        <v>137</v>
      </c>
      <c r="D45" s="40">
        <v>2026</v>
      </c>
      <c r="E45" s="40">
        <v>2525.14990234375</v>
      </c>
      <c r="F45" s="40">
        <v>2550.94995117188</v>
      </c>
      <c r="H45" s="40">
        <v>1363.47998046875</v>
      </c>
      <c r="I45" s="40">
        <v>809.38000488281295</v>
      </c>
      <c r="L45" s="40">
        <v>406.230005264282</v>
      </c>
      <c r="N45" s="40">
        <v>51.669998168945298</v>
      </c>
      <c r="O45" s="40">
        <v>2223.0100555419899</v>
      </c>
      <c r="Q45" s="40">
        <v>32.5</v>
      </c>
      <c r="R45" s="40">
        <v>5152.4500198364303</v>
      </c>
      <c r="T45" s="40">
        <v>329.58999633789102</v>
      </c>
      <c r="V45" s="40">
        <v>2370</v>
      </c>
      <c r="W45" s="40">
        <v>520</v>
      </c>
    </row>
    <row r="46" spans="1:23">
      <c r="A46" s="40" t="s">
        <v>50</v>
      </c>
      <c r="B46" s="40" t="s">
        <v>164</v>
      </c>
      <c r="C46" s="40" t="s">
        <v>137</v>
      </c>
      <c r="D46" s="40" t="s">
        <v>15</v>
      </c>
      <c r="E46" s="203">
        <v>-0.83</v>
      </c>
      <c r="F46" s="203">
        <v>-0.68</v>
      </c>
      <c r="G46" s="40" t="s">
        <v>161</v>
      </c>
      <c r="H46" s="203">
        <v>-0.84</v>
      </c>
      <c r="I46" s="203">
        <v>-0.86</v>
      </c>
      <c r="J46" s="203" t="s">
        <v>161</v>
      </c>
      <c r="K46" s="203" t="s">
        <v>161</v>
      </c>
      <c r="L46" s="203">
        <v>-0.87</v>
      </c>
      <c r="M46" s="203">
        <v>-1</v>
      </c>
      <c r="N46" s="203">
        <v>-0.86</v>
      </c>
      <c r="O46" s="203">
        <v>-0.77</v>
      </c>
      <c r="P46" s="40" t="s">
        <v>161</v>
      </c>
      <c r="Q46" s="203">
        <v>-0.98</v>
      </c>
      <c r="R46" s="203">
        <v>-0.71</v>
      </c>
      <c r="S46" s="203">
        <v>-1</v>
      </c>
      <c r="T46" s="203">
        <v>-0.92</v>
      </c>
      <c r="U46" s="203">
        <v>-1</v>
      </c>
      <c r="V46" s="203">
        <v>-0.8</v>
      </c>
      <c r="W46" s="203">
        <v>-0.53</v>
      </c>
    </row>
    <row r="47" spans="1:23">
      <c r="A47" s="40" t="s">
        <v>50</v>
      </c>
      <c r="B47" s="40" t="s">
        <v>132</v>
      </c>
      <c r="C47" s="40" t="s">
        <v>144</v>
      </c>
      <c r="D47" s="40">
        <v>2025</v>
      </c>
      <c r="E47" s="40">
        <v>10884.8095703125</v>
      </c>
      <c r="F47" s="40">
        <v>4828.02978515625</v>
      </c>
      <c r="H47" s="40">
        <v>7053.5400390625</v>
      </c>
      <c r="I47" s="40">
        <v>3512.1599731445299</v>
      </c>
      <c r="L47" s="40">
        <v>5660.0599365234402</v>
      </c>
      <c r="M47" s="40">
        <v>1176.03000640869</v>
      </c>
      <c r="N47" s="40">
        <v>1276.73996734619</v>
      </c>
      <c r="O47" s="40">
        <v>9765.9198932647705</v>
      </c>
      <c r="Q47" s="40">
        <v>594.75</v>
      </c>
      <c r="R47" s="40">
        <v>19864.180007934599</v>
      </c>
      <c r="S47" s="40">
        <v>91.669998168945298</v>
      </c>
      <c r="T47" s="40">
        <v>2443.21997070313</v>
      </c>
      <c r="U47" s="40">
        <v>165</v>
      </c>
      <c r="V47" s="40">
        <v>9624.849609375</v>
      </c>
      <c r="W47" s="40">
        <v>3250</v>
      </c>
    </row>
    <row r="48" spans="1:23">
      <c r="A48" s="40" t="s">
        <v>50</v>
      </c>
      <c r="B48" s="40" t="s">
        <v>132</v>
      </c>
      <c r="C48" s="40" t="s">
        <v>144</v>
      </c>
      <c r="D48" s="40">
        <v>2026</v>
      </c>
      <c r="E48" s="40">
        <v>1054.53002929688</v>
      </c>
      <c r="F48" s="40">
        <v>492.14001464843801</v>
      </c>
      <c r="H48" s="40">
        <v>476.010009765625</v>
      </c>
      <c r="I48" s="40">
        <v>337.76998901367199</v>
      </c>
      <c r="K48" s="40">
        <v>68.339996337890597</v>
      </c>
      <c r="L48" s="40">
        <v>189.559993743896</v>
      </c>
      <c r="M48" s="40">
        <v>42</v>
      </c>
      <c r="N48" s="40">
        <v>149.58999633789099</v>
      </c>
      <c r="O48" s="40">
        <v>728.67999267578102</v>
      </c>
      <c r="Q48" s="40">
        <v>65</v>
      </c>
      <c r="R48" s="40">
        <v>1643.6100177764899</v>
      </c>
      <c r="T48" s="40">
        <v>377.51000213623001</v>
      </c>
      <c r="V48" s="40">
        <v>717.58001708984398</v>
      </c>
      <c r="W48" s="40">
        <v>1495</v>
      </c>
    </row>
    <row r="49" spans="1:23">
      <c r="A49" s="40" t="s">
        <v>50</v>
      </c>
      <c r="B49" s="40" t="s">
        <v>132</v>
      </c>
      <c r="C49" s="40" t="s">
        <v>144</v>
      </c>
      <c r="D49" s="40" t="s">
        <v>15</v>
      </c>
      <c r="E49" s="203">
        <v>-0.9</v>
      </c>
      <c r="F49" s="203">
        <v>-0.9</v>
      </c>
      <c r="G49" s="40" t="s">
        <v>161</v>
      </c>
      <c r="H49" s="203">
        <v>-0.93</v>
      </c>
      <c r="I49" s="203">
        <v>-0.9</v>
      </c>
      <c r="J49" s="203" t="s">
        <v>161</v>
      </c>
      <c r="K49" s="203" t="s">
        <v>161</v>
      </c>
      <c r="L49" s="203">
        <v>-0.97</v>
      </c>
      <c r="M49" s="203">
        <v>-0.96</v>
      </c>
      <c r="N49" s="203">
        <v>-0.88</v>
      </c>
      <c r="O49" s="203">
        <v>-0.93</v>
      </c>
      <c r="P49" s="40" t="s">
        <v>161</v>
      </c>
      <c r="Q49" s="203">
        <v>-0.89</v>
      </c>
      <c r="R49" s="203">
        <v>-0.92</v>
      </c>
      <c r="S49" s="203">
        <v>-1</v>
      </c>
      <c r="T49" s="203">
        <v>-0.85</v>
      </c>
      <c r="U49" s="203">
        <v>-1</v>
      </c>
      <c r="V49" s="203">
        <v>-0.93</v>
      </c>
      <c r="W49" s="203">
        <v>-0.54</v>
      </c>
    </row>
    <row r="50" spans="1:23">
      <c r="A50" s="40" t="s">
        <v>50</v>
      </c>
      <c r="B50" s="40" t="s">
        <v>133</v>
      </c>
      <c r="C50" s="40" t="s">
        <v>165</v>
      </c>
      <c r="D50" s="40">
        <v>2025</v>
      </c>
      <c r="E50" s="40">
        <v>7958.240234375</v>
      </c>
      <c r="F50" s="40">
        <v>2439.44995117188</v>
      </c>
      <c r="H50" s="40">
        <v>5108.509765625</v>
      </c>
      <c r="I50" s="40">
        <v>1554.52001953125</v>
      </c>
      <c r="J50" s="40">
        <v>375.83999633789102</v>
      </c>
      <c r="K50" s="40">
        <v>34.169998168945298</v>
      </c>
      <c r="L50" s="40">
        <v>3168.52001953125</v>
      </c>
      <c r="M50" s="40">
        <v>546</v>
      </c>
      <c r="N50" s="40">
        <v>206.669998168945</v>
      </c>
      <c r="O50" s="40">
        <v>2994.3399810791002</v>
      </c>
      <c r="Q50" s="40">
        <v>812.5</v>
      </c>
      <c r="R50" s="40">
        <v>11989.1498527527</v>
      </c>
      <c r="S50" s="40">
        <v>320.85000610351602</v>
      </c>
      <c r="T50" s="40">
        <v>1340.6399841308601</v>
      </c>
      <c r="U50" s="40">
        <v>165</v>
      </c>
      <c r="V50" s="40">
        <v>4193.58984375</v>
      </c>
      <c r="W50" s="40">
        <v>2121.0900115966801</v>
      </c>
    </row>
    <row r="51" spans="1:23">
      <c r="A51" s="40" t="s">
        <v>50</v>
      </c>
      <c r="B51" s="40" t="s">
        <v>133</v>
      </c>
      <c r="C51" s="40" t="s">
        <v>165</v>
      </c>
      <c r="D51" s="40">
        <v>2026</v>
      </c>
    </row>
    <row r="52" spans="1:23">
      <c r="A52" s="40" t="s">
        <v>50</v>
      </c>
      <c r="B52" s="40" t="s">
        <v>133</v>
      </c>
      <c r="C52" s="40" t="s">
        <v>165</v>
      </c>
      <c r="D52" s="40" t="s">
        <v>15</v>
      </c>
      <c r="E52" s="203">
        <v>-1</v>
      </c>
      <c r="F52" s="203">
        <v>-1</v>
      </c>
      <c r="G52" s="40" t="s">
        <v>161</v>
      </c>
      <c r="H52" s="203">
        <v>-1</v>
      </c>
      <c r="I52" s="203">
        <v>-1</v>
      </c>
      <c r="J52" s="203">
        <v>-1</v>
      </c>
      <c r="K52" s="203">
        <v>-1</v>
      </c>
      <c r="L52" s="203">
        <v>-1</v>
      </c>
      <c r="M52" s="203">
        <v>-1</v>
      </c>
      <c r="N52" s="203">
        <v>-1</v>
      </c>
      <c r="O52" s="203">
        <v>-1</v>
      </c>
      <c r="P52" s="40" t="s">
        <v>161</v>
      </c>
      <c r="Q52" s="203">
        <v>-1</v>
      </c>
      <c r="R52" s="203">
        <v>-1</v>
      </c>
      <c r="S52" s="203">
        <v>-1</v>
      </c>
      <c r="T52" s="203">
        <v>-1</v>
      </c>
      <c r="U52" s="203">
        <v>-1</v>
      </c>
      <c r="V52" s="203">
        <v>-1</v>
      </c>
      <c r="W52" s="203">
        <v>-1</v>
      </c>
    </row>
    <row r="53" spans="1:23">
      <c r="A53" s="40" t="s">
        <v>50</v>
      </c>
      <c r="B53" s="40" t="s">
        <v>147</v>
      </c>
      <c r="C53" s="40" t="s">
        <v>152</v>
      </c>
      <c r="D53" s="40">
        <v>2025</v>
      </c>
      <c r="E53" s="40">
        <v>14662.51953125</v>
      </c>
      <c r="F53" s="40">
        <v>13117.16015625</v>
      </c>
      <c r="H53" s="40">
        <v>10230.7998046875</v>
      </c>
      <c r="I53" s="40">
        <v>6497.4201660156295</v>
      </c>
      <c r="J53" s="40">
        <v>136.669998168945</v>
      </c>
      <c r="K53" s="40">
        <v>34.169998168945298</v>
      </c>
      <c r="L53" s="40">
        <v>4603.8298645019504</v>
      </c>
      <c r="M53" s="40">
        <v>1257.36999511719</v>
      </c>
      <c r="N53" s="40">
        <v>1115.0599670410199</v>
      </c>
      <c r="O53" s="40">
        <v>22776.789703369101</v>
      </c>
      <c r="Q53" s="40">
        <v>832</v>
      </c>
      <c r="R53" s="40">
        <v>18714.799915313699</v>
      </c>
      <c r="S53" s="40">
        <v>206.25</v>
      </c>
      <c r="T53" s="40">
        <v>323.58000183105497</v>
      </c>
      <c r="U53" s="40">
        <v>1848</v>
      </c>
      <c r="V53" s="40">
        <v>11586.66015625</v>
      </c>
      <c r="W53" s="40">
        <v>2665</v>
      </c>
    </row>
    <row r="54" spans="1:23">
      <c r="A54" s="40" t="s">
        <v>50</v>
      </c>
      <c r="B54" s="40" t="s">
        <v>147</v>
      </c>
      <c r="C54" s="40" t="s">
        <v>152</v>
      </c>
      <c r="D54" s="40">
        <v>2026</v>
      </c>
      <c r="E54" s="40">
        <v>882.46002197265602</v>
      </c>
      <c r="F54" s="40">
        <v>1028.64001464844</v>
      </c>
      <c r="H54" s="40">
        <v>539.83001708984398</v>
      </c>
      <c r="I54" s="40">
        <v>514.510009765625</v>
      </c>
      <c r="K54" s="40">
        <v>68.339996337890597</v>
      </c>
      <c r="L54" s="40">
        <v>622.87000274658203</v>
      </c>
      <c r="M54" s="40">
        <v>131.280002593994</v>
      </c>
      <c r="N54" s="40">
        <v>280.42999267578102</v>
      </c>
      <c r="O54" s="40">
        <v>1183.3199844360399</v>
      </c>
      <c r="Q54" s="40">
        <v>165.75</v>
      </c>
      <c r="R54" s="40">
        <v>1320.9299888610799</v>
      </c>
      <c r="T54" s="40">
        <v>63.330001831054702</v>
      </c>
      <c r="U54" s="40">
        <v>220</v>
      </c>
      <c r="V54" s="40">
        <v>888.75</v>
      </c>
      <c r="W54" s="40">
        <v>111.200000762939</v>
      </c>
    </row>
    <row r="55" spans="1:23">
      <c r="A55" s="40" t="s">
        <v>50</v>
      </c>
      <c r="B55" s="40" t="s">
        <v>147</v>
      </c>
      <c r="C55" s="40" t="s">
        <v>152</v>
      </c>
      <c r="D55" s="40" t="s">
        <v>15</v>
      </c>
      <c r="E55" s="203">
        <v>-0.94</v>
      </c>
      <c r="F55" s="203">
        <v>-0.92</v>
      </c>
      <c r="G55" s="40" t="s">
        <v>161</v>
      </c>
      <c r="H55" s="203">
        <v>-0.95</v>
      </c>
      <c r="I55" s="203">
        <v>-0.92</v>
      </c>
      <c r="J55" s="203">
        <v>-1</v>
      </c>
      <c r="K55" s="203">
        <v>1</v>
      </c>
      <c r="L55" s="203">
        <v>-0.86</v>
      </c>
      <c r="M55" s="203">
        <v>-0.9</v>
      </c>
      <c r="N55" s="203">
        <v>-0.75</v>
      </c>
      <c r="O55" s="203">
        <v>-0.95</v>
      </c>
      <c r="P55" s="40" t="s">
        <v>161</v>
      </c>
      <c r="Q55" s="203">
        <v>-0.8</v>
      </c>
      <c r="R55" s="203">
        <v>-0.93</v>
      </c>
      <c r="S55" s="203">
        <v>-1</v>
      </c>
      <c r="T55" s="203">
        <v>-0.8</v>
      </c>
      <c r="U55" s="203">
        <v>-0.88</v>
      </c>
      <c r="V55" s="203">
        <v>-0.92</v>
      </c>
      <c r="W55" s="203">
        <v>-0.96</v>
      </c>
    </row>
    <row r="56" spans="1:23">
      <c r="A56" s="40" t="s">
        <v>50</v>
      </c>
      <c r="B56" s="40" t="s">
        <v>148</v>
      </c>
      <c r="C56" s="40" t="s">
        <v>159</v>
      </c>
      <c r="D56" s="40">
        <v>2025</v>
      </c>
      <c r="E56" s="40">
        <v>197.580001831055</v>
      </c>
      <c r="F56" s="40">
        <v>241.75</v>
      </c>
      <c r="H56" s="40">
        <v>146.330001831055</v>
      </c>
      <c r="I56" s="40">
        <v>60</v>
      </c>
      <c r="J56" s="40">
        <v>34.169998168945298</v>
      </c>
      <c r="L56" s="40">
        <v>135.39999961852999</v>
      </c>
      <c r="M56" s="40">
        <v>115.51999664306599</v>
      </c>
      <c r="N56" s="40">
        <v>51.669998168945298</v>
      </c>
      <c r="Q56" s="40">
        <v>48.75</v>
      </c>
      <c r="R56" s="40">
        <v>363</v>
      </c>
      <c r="V56" s="40">
        <v>592.5</v>
      </c>
      <c r="W56" s="40">
        <v>65</v>
      </c>
    </row>
    <row r="57" spans="1:23">
      <c r="A57" s="40" t="s">
        <v>50</v>
      </c>
      <c r="B57" s="40" t="s">
        <v>148</v>
      </c>
      <c r="C57" s="40" t="s">
        <v>190</v>
      </c>
      <c r="D57" s="40">
        <v>2026</v>
      </c>
    </row>
    <row r="58" spans="1:23">
      <c r="A58" s="40" t="s">
        <v>50</v>
      </c>
      <c r="B58" s="40" t="s">
        <v>148</v>
      </c>
      <c r="C58" s="40" t="s">
        <v>190</v>
      </c>
      <c r="D58" s="40" t="s">
        <v>15</v>
      </c>
      <c r="E58" s="203">
        <v>-1</v>
      </c>
      <c r="F58" s="203">
        <v>-1</v>
      </c>
      <c r="G58" s="40" t="s">
        <v>161</v>
      </c>
      <c r="H58" s="203">
        <v>-1</v>
      </c>
      <c r="I58" s="203">
        <v>-1</v>
      </c>
      <c r="J58" s="203">
        <v>-1</v>
      </c>
      <c r="K58" s="203" t="s">
        <v>161</v>
      </c>
      <c r="L58" s="203">
        <v>-1</v>
      </c>
      <c r="M58" s="203">
        <v>-1</v>
      </c>
      <c r="N58" s="203">
        <v>-1</v>
      </c>
      <c r="O58" s="203" t="s">
        <v>161</v>
      </c>
      <c r="P58" s="40" t="s">
        <v>161</v>
      </c>
      <c r="Q58" s="203">
        <v>-1</v>
      </c>
      <c r="R58" s="203">
        <v>-1</v>
      </c>
      <c r="S58" s="203" t="s">
        <v>161</v>
      </c>
      <c r="T58" s="203" t="s">
        <v>161</v>
      </c>
      <c r="U58" s="203" t="s">
        <v>161</v>
      </c>
      <c r="V58" s="203">
        <v>-1</v>
      </c>
      <c r="W58" s="203">
        <v>-1</v>
      </c>
    </row>
    <row r="59" spans="1:23">
      <c r="A59" s="40" t="s">
        <v>50</v>
      </c>
      <c r="B59" s="40" t="s">
        <v>141</v>
      </c>
      <c r="C59" s="40" t="s">
        <v>174</v>
      </c>
      <c r="D59" s="40">
        <v>2025</v>
      </c>
      <c r="E59" s="40">
        <v>7047.35986328125</v>
      </c>
      <c r="F59" s="40">
        <v>4723.9802246093795</v>
      </c>
      <c r="H59" s="40">
        <v>4096.3298339843795</v>
      </c>
      <c r="I59" s="40">
        <v>3381.78001403809</v>
      </c>
      <c r="J59" s="40">
        <v>820.04000854492199</v>
      </c>
      <c r="K59" s="40">
        <v>478.35000610351602</v>
      </c>
      <c r="L59" s="40">
        <v>4035.00002288818</v>
      </c>
      <c r="M59" s="40">
        <v>1598.63000488281</v>
      </c>
      <c r="N59" s="40">
        <v>1349.1999816894499</v>
      </c>
      <c r="O59" s="40">
        <v>4133.1800212860098</v>
      </c>
      <c r="Q59" s="40">
        <v>520</v>
      </c>
      <c r="R59" s="40">
        <v>14560.279846191401</v>
      </c>
      <c r="S59" s="40">
        <v>320.86999511718801</v>
      </c>
      <c r="T59" s="40">
        <v>283.33000373840298</v>
      </c>
      <c r="U59" s="40">
        <v>1111</v>
      </c>
      <c r="V59" s="40">
        <v>7518.6796875</v>
      </c>
      <c r="W59" s="40">
        <v>3010.3499984741202</v>
      </c>
    </row>
    <row r="60" spans="1:23">
      <c r="A60" s="40" t="s">
        <v>50</v>
      </c>
      <c r="B60" s="40" t="s">
        <v>141</v>
      </c>
      <c r="C60" s="40" t="s">
        <v>145</v>
      </c>
      <c r="D60" s="40">
        <v>2026</v>
      </c>
      <c r="E60" s="40">
        <v>2563.81005859375</v>
      </c>
      <c r="F60" s="40">
        <v>970.78997802734398</v>
      </c>
      <c r="H60" s="40">
        <v>1549.33996582031</v>
      </c>
      <c r="I60" s="40">
        <v>862.45999145507801</v>
      </c>
      <c r="K60" s="40">
        <v>205.02000427246099</v>
      </c>
      <c r="L60" s="40">
        <v>1029.0900115966799</v>
      </c>
      <c r="M60" s="40">
        <v>393.75</v>
      </c>
      <c r="N60" s="40">
        <v>261.24999618530302</v>
      </c>
      <c r="O60" s="40">
        <v>2335.21997070313</v>
      </c>
      <c r="Q60" s="40">
        <v>139.75</v>
      </c>
      <c r="R60" s="206">
        <v>4114.0499458312997</v>
      </c>
      <c r="S60" s="40">
        <v>91.680000305175795</v>
      </c>
      <c r="T60" s="40">
        <v>119.000001907349</v>
      </c>
      <c r="U60" s="40">
        <v>88</v>
      </c>
      <c r="V60" s="40">
        <v>987.5</v>
      </c>
      <c r="W60" s="40">
        <v>1105</v>
      </c>
    </row>
    <row r="61" spans="1:23">
      <c r="A61" s="40" t="s">
        <v>50</v>
      </c>
      <c r="B61" s="40" t="s">
        <v>141</v>
      </c>
      <c r="C61" s="40" t="s">
        <v>145</v>
      </c>
      <c r="D61" s="40" t="s">
        <v>15</v>
      </c>
      <c r="E61" s="203">
        <v>-0.64</v>
      </c>
      <c r="F61" s="203">
        <v>-0.79</v>
      </c>
      <c r="G61" s="40" t="s">
        <v>161</v>
      </c>
      <c r="H61" s="203">
        <v>-0.62</v>
      </c>
      <c r="I61" s="203">
        <v>-0.74</v>
      </c>
      <c r="J61" s="203">
        <v>-1</v>
      </c>
      <c r="K61" s="203">
        <v>-0.56999999999999995</v>
      </c>
      <c r="L61" s="203">
        <v>-0.74</v>
      </c>
      <c r="M61" s="203">
        <v>-0.75</v>
      </c>
      <c r="N61" s="203">
        <v>-0.81</v>
      </c>
      <c r="O61" s="203">
        <v>-0.44</v>
      </c>
      <c r="P61" s="40" t="s">
        <v>161</v>
      </c>
      <c r="Q61" s="203">
        <v>-0.73</v>
      </c>
      <c r="R61" s="203">
        <v>-0.72</v>
      </c>
      <c r="S61" s="203">
        <v>-0.71</v>
      </c>
      <c r="T61" s="203">
        <v>-0.57999999999999996</v>
      </c>
      <c r="U61" s="203">
        <v>-0.92</v>
      </c>
      <c r="V61" s="203">
        <v>-0.87</v>
      </c>
      <c r="W61" s="203">
        <v>-0.63</v>
      </c>
    </row>
    <row r="62" spans="1:23">
      <c r="A62" s="40" t="s">
        <v>50</v>
      </c>
      <c r="B62" s="40" t="s">
        <v>138</v>
      </c>
      <c r="C62" s="40" t="s">
        <v>103</v>
      </c>
      <c r="D62" s="40">
        <v>2025</v>
      </c>
      <c r="E62" s="40">
        <v>3342.32006835938</v>
      </c>
      <c r="F62" s="40">
        <v>2332.80004882813</v>
      </c>
      <c r="H62" s="40">
        <v>1974.34997558594</v>
      </c>
      <c r="I62" s="40">
        <v>1343.2999877929699</v>
      </c>
      <c r="J62" s="40">
        <v>580.88000488281295</v>
      </c>
      <c r="L62" s="40">
        <v>1733.1999969482399</v>
      </c>
      <c r="M62" s="40">
        <v>517.11999511718795</v>
      </c>
      <c r="N62" s="40">
        <v>525.00999450683605</v>
      </c>
      <c r="O62" s="40">
        <v>1087.65002059937</v>
      </c>
      <c r="Q62" s="40">
        <v>292.5</v>
      </c>
      <c r="R62" s="40">
        <v>4093.8299636840802</v>
      </c>
      <c r="S62" s="40">
        <v>68.760002136230497</v>
      </c>
      <c r="T62" s="40">
        <v>235.41000366210901</v>
      </c>
      <c r="U62" s="40">
        <v>99</v>
      </c>
      <c r="V62" s="40">
        <v>4008.6800098419199</v>
      </c>
      <c r="W62" s="40">
        <v>2210</v>
      </c>
    </row>
    <row r="63" spans="1:23">
      <c r="A63" s="40" t="s">
        <v>50</v>
      </c>
      <c r="B63" s="40" t="s">
        <v>138</v>
      </c>
      <c r="C63" s="40" t="s">
        <v>103</v>
      </c>
      <c r="D63" s="40">
        <v>2026</v>
      </c>
    </row>
    <row r="64" spans="1:23">
      <c r="A64" s="40" t="s">
        <v>50</v>
      </c>
      <c r="B64" s="40" t="s">
        <v>138</v>
      </c>
      <c r="C64" s="40" t="s">
        <v>103</v>
      </c>
      <c r="D64" s="40" t="s">
        <v>15</v>
      </c>
      <c r="E64" s="203">
        <v>-1</v>
      </c>
      <c r="F64" s="203">
        <v>-1</v>
      </c>
      <c r="G64" s="40" t="s">
        <v>161</v>
      </c>
      <c r="H64" s="203">
        <v>-1</v>
      </c>
      <c r="I64" s="203">
        <v>-1</v>
      </c>
      <c r="J64" s="203">
        <v>-1</v>
      </c>
      <c r="K64" s="203" t="s">
        <v>161</v>
      </c>
      <c r="L64" s="203">
        <v>-1</v>
      </c>
      <c r="M64" s="203">
        <v>-1</v>
      </c>
      <c r="N64" s="203">
        <v>-1</v>
      </c>
      <c r="O64" s="203">
        <v>-1</v>
      </c>
      <c r="P64" s="40" t="s">
        <v>161</v>
      </c>
      <c r="Q64" s="203">
        <v>-1</v>
      </c>
      <c r="R64" s="203">
        <v>-1</v>
      </c>
      <c r="S64" s="203">
        <v>-1</v>
      </c>
      <c r="T64" s="203">
        <v>-1</v>
      </c>
      <c r="U64" s="203">
        <v>-1</v>
      </c>
      <c r="V64" s="203">
        <v>-1</v>
      </c>
      <c r="W64" s="203">
        <v>-1</v>
      </c>
    </row>
    <row r="65" spans="1:23">
      <c r="A65" s="40" t="s">
        <v>50</v>
      </c>
      <c r="B65" s="40" t="s">
        <v>139</v>
      </c>
      <c r="C65" s="40" t="s">
        <v>194</v>
      </c>
      <c r="D65" s="40">
        <v>2025</v>
      </c>
    </row>
    <row r="66" spans="1:23">
      <c r="A66" s="40" t="s">
        <v>50</v>
      </c>
      <c r="B66" s="40" t="s">
        <v>139</v>
      </c>
      <c r="C66" s="40" t="s">
        <v>169</v>
      </c>
      <c r="D66" s="40">
        <v>2026</v>
      </c>
    </row>
    <row r="67" spans="1:23">
      <c r="A67" s="40" t="s">
        <v>50</v>
      </c>
      <c r="B67" s="40" t="s">
        <v>139</v>
      </c>
      <c r="C67" s="40" t="s">
        <v>169</v>
      </c>
      <c r="D67" s="40" t="s">
        <v>15</v>
      </c>
      <c r="E67" s="203" t="s">
        <v>161</v>
      </c>
      <c r="F67" s="203" t="s">
        <v>161</v>
      </c>
      <c r="G67" s="40" t="s">
        <v>161</v>
      </c>
      <c r="H67" s="203" t="s">
        <v>161</v>
      </c>
      <c r="I67" s="203" t="s">
        <v>161</v>
      </c>
      <c r="J67" s="203" t="s">
        <v>161</v>
      </c>
      <c r="K67" s="203" t="s">
        <v>161</v>
      </c>
      <c r="L67" s="203" t="s">
        <v>161</v>
      </c>
      <c r="M67" s="203" t="s">
        <v>161</v>
      </c>
      <c r="N67" s="203" t="s">
        <v>161</v>
      </c>
      <c r="O67" s="203" t="s">
        <v>161</v>
      </c>
      <c r="P67" s="40" t="s">
        <v>161</v>
      </c>
      <c r="Q67" s="203" t="s">
        <v>161</v>
      </c>
      <c r="R67" s="203" t="s">
        <v>161</v>
      </c>
      <c r="S67" s="203" t="s">
        <v>161</v>
      </c>
      <c r="T67" s="203" t="s">
        <v>161</v>
      </c>
      <c r="U67" s="203" t="s">
        <v>161</v>
      </c>
      <c r="V67" s="203" t="s">
        <v>161</v>
      </c>
      <c r="W67" s="203" t="s">
        <v>161</v>
      </c>
    </row>
    <row r="68" spans="1:23">
      <c r="A68" s="40" t="s">
        <v>50</v>
      </c>
      <c r="B68" s="40" t="s">
        <v>140</v>
      </c>
      <c r="C68" s="40" t="s">
        <v>104</v>
      </c>
      <c r="D68" s="40">
        <v>2025</v>
      </c>
      <c r="E68" s="40">
        <v>20725.5703125</v>
      </c>
      <c r="F68" s="40">
        <v>8361.2998046875</v>
      </c>
      <c r="H68" s="40">
        <v>12051.6796875</v>
      </c>
      <c r="I68" s="40">
        <v>5683.60986328125</v>
      </c>
      <c r="J68" s="40">
        <v>751.70001220703102</v>
      </c>
      <c r="L68" s="40">
        <v>6364.1100158691397</v>
      </c>
      <c r="M68" s="40">
        <v>2018.8299865722699</v>
      </c>
      <c r="N68" s="40">
        <v>7753.8498382568396</v>
      </c>
      <c r="O68" s="40">
        <v>14891.5801696777</v>
      </c>
      <c r="Q68" s="40">
        <v>1365</v>
      </c>
      <c r="R68" s="40">
        <v>24159.759948730501</v>
      </c>
      <c r="S68" s="40">
        <v>275.02999877929699</v>
      </c>
      <c r="T68" s="40">
        <v>189.17000579833999</v>
      </c>
      <c r="U68" s="40">
        <v>3300</v>
      </c>
      <c r="V68" s="40">
        <v>13455.750078201299</v>
      </c>
      <c r="W68" s="40">
        <v>5030.4499969482404</v>
      </c>
    </row>
    <row r="69" spans="1:23">
      <c r="A69" s="40" t="s">
        <v>50</v>
      </c>
      <c r="B69" s="40" t="s">
        <v>140</v>
      </c>
      <c r="C69" s="40" t="s">
        <v>104</v>
      </c>
      <c r="D69" s="40">
        <v>2026</v>
      </c>
      <c r="E69" s="40">
        <v>4210.66015625</v>
      </c>
      <c r="F69" s="40">
        <v>3502.6201171875</v>
      </c>
      <c r="H69" s="40">
        <v>4170.93017578125</v>
      </c>
      <c r="I69" s="40">
        <v>553.64001464843795</v>
      </c>
      <c r="K69" s="40">
        <v>170.83999633789099</v>
      </c>
      <c r="L69" s="40">
        <v>893.67999267578102</v>
      </c>
      <c r="M69" s="40">
        <v>475.38001251220697</v>
      </c>
      <c r="N69" s="40">
        <v>874.29000997543301</v>
      </c>
      <c r="O69" s="40">
        <v>3105.8199486732501</v>
      </c>
      <c r="Q69" s="40">
        <v>201.5</v>
      </c>
      <c r="R69" s="40">
        <v>3690.6499862670898</v>
      </c>
      <c r="S69" s="40">
        <v>68.75</v>
      </c>
      <c r="T69" s="40">
        <v>87.330001831054702</v>
      </c>
      <c r="U69" s="40">
        <v>275</v>
      </c>
      <c r="V69" s="40">
        <v>1335.34996032715</v>
      </c>
      <c r="W69" s="40">
        <v>1508.3000030517601</v>
      </c>
    </row>
    <row r="70" spans="1:23">
      <c r="A70" s="40" t="s">
        <v>50</v>
      </c>
      <c r="B70" s="40" t="s">
        <v>140</v>
      </c>
      <c r="C70" s="40" t="s">
        <v>104</v>
      </c>
      <c r="D70" s="40" t="s">
        <v>15</v>
      </c>
      <c r="E70" s="203">
        <v>-0.8</v>
      </c>
      <c r="F70" s="203">
        <v>-0.57999999999999996</v>
      </c>
      <c r="G70" s="40" t="s">
        <v>161</v>
      </c>
      <c r="H70" s="203">
        <v>-0.65</v>
      </c>
      <c r="I70" s="203">
        <v>-0.9</v>
      </c>
      <c r="J70" s="203">
        <v>-1</v>
      </c>
      <c r="K70" s="203" t="s">
        <v>161</v>
      </c>
      <c r="L70" s="203">
        <v>-0.86</v>
      </c>
      <c r="M70" s="203">
        <v>-0.76</v>
      </c>
      <c r="N70" s="203">
        <v>-0.89</v>
      </c>
      <c r="O70" s="203">
        <v>-0.79</v>
      </c>
      <c r="P70" s="40" t="s">
        <v>161</v>
      </c>
      <c r="Q70" s="203">
        <v>-0.85</v>
      </c>
      <c r="R70" s="203">
        <v>-0.85</v>
      </c>
      <c r="S70" s="203">
        <v>-0.75</v>
      </c>
      <c r="T70" s="203">
        <v>-0.54</v>
      </c>
      <c r="U70" s="203">
        <v>-0.92</v>
      </c>
      <c r="V70" s="203">
        <v>-0.9</v>
      </c>
      <c r="W70" s="203">
        <v>-0.7</v>
      </c>
    </row>
    <row r="71" spans="1:23">
      <c r="A71" s="40" t="s">
        <v>50</v>
      </c>
      <c r="B71" s="40" t="s">
        <v>134</v>
      </c>
      <c r="C71" s="40" t="s">
        <v>149</v>
      </c>
      <c r="D71" s="40">
        <v>2025</v>
      </c>
      <c r="E71" s="40">
        <v>25451.259765625</v>
      </c>
      <c r="F71" s="40">
        <v>5889.81982421875</v>
      </c>
      <c r="H71" s="40">
        <v>13790.8603515625</v>
      </c>
      <c r="I71" s="40">
        <v>4346.5700683593795</v>
      </c>
      <c r="K71" s="40">
        <v>888.34002685546898</v>
      </c>
      <c r="L71" s="40">
        <v>9261.9300537109393</v>
      </c>
      <c r="M71" s="40">
        <v>587.98999404907204</v>
      </c>
      <c r="N71" s="40">
        <v>1592.84997558594</v>
      </c>
      <c r="O71" s="40">
        <v>5437.76000022888</v>
      </c>
      <c r="Q71" s="40">
        <v>975</v>
      </c>
      <c r="R71" s="40">
        <v>20892.8300323486</v>
      </c>
      <c r="S71" s="40">
        <v>550.03997802734398</v>
      </c>
      <c r="T71" s="40">
        <v>1686.61999511719</v>
      </c>
      <c r="U71" s="40">
        <v>772.5</v>
      </c>
      <c r="V71" s="40">
        <v>16731.639450073199</v>
      </c>
      <c r="W71" s="40">
        <v>4467.1097602844202</v>
      </c>
    </row>
    <row r="72" spans="1:23">
      <c r="A72" s="40" t="s">
        <v>50</v>
      </c>
      <c r="B72" s="40" t="s">
        <v>134</v>
      </c>
      <c r="C72" s="40" t="s">
        <v>167</v>
      </c>
      <c r="D72" s="40">
        <v>2026</v>
      </c>
      <c r="E72" s="40">
        <v>3970.2900390625</v>
      </c>
      <c r="F72" s="40">
        <v>1599.5400390625</v>
      </c>
      <c r="H72" s="40">
        <v>1916.56005859375</v>
      </c>
      <c r="I72" s="40">
        <v>1315.15002441406</v>
      </c>
      <c r="K72" s="40">
        <v>68.339996337890597</v>
      </c>
      <c r="L72" s="40">
        <v>1354.1000137329099</v>
      </c>
      <c r="M72" s="206">
        <v>168</v>
      </c>
      <c r="N72" s="40">
        <v>568.33999633789097</v>
      </c>
      <c r="O72" s="40">
        <v>498.33999824523897</v>
      </c>
      <c r="Q72" s="40">
        <v>97.5</v>
      </c>
      <c r="R72" s="40">
        <v>2571.23997497559</v>
      </c>
      <c r="V72" s="40">
        <v>2567.5</v>
      </c>
      <c r="W72" s="40">
        <v>910</v>
      </c>
    </row>
    <row r="73" spans="1:23">
      <c r="A73" s="40" t="s">
        <v>50</v>
      </c>
      <c r="B73" s="40" t="s">
        <v>134</v>
      </c>
      <c r="C73" s="40" t="s">
        <v>167</v>
      </c>
      <c r="D73" s="40" t="s">
        <v>15</v>
      </c>
      <c r="E73" s="203">
        <v>-0.84</v>
      </c>
      <c r="F73" s="203">
        <v>-0.73</v>
      </c>
      <c r="G73" s="40" t="s">
        <v>161</v>
      </c>
      <c r="H73" s="203">
        <v>-0.86</v>
      </c>
      <c r="I73" s="203">
        <v>-0.7</v>
      </c>
      <c r="J73" s="203" t="s">
        <v>161</v>
      </c>
      <c r="K73" s="203">
        <v>-0.92</v>
      </c>
      <c r="L73" s="203">
        <v>-0.85</v>
      </c>
      <c r="M73" s="203">
        <v>-0.71</v>
      </c>
      <c r="N73" s="203">
        <v>-0.64</v>
      </c>
      <c r="O73" s="203">
        <v>-0.91</v>
      </c>
      <c r="P73" s="40" t="s">
        <v>161</v>
      </c>
      <c r="Q73" s="203">
        <v>-0.9</v>
      </c>
      <c r="R73" s="203">
        <v>-0.88</v>
      </c>
      <c r="S73" s="203">
        <v>-1</v>
      </c>
      <c r="T73" s="203">
        <v>-1</v>
      </c>
      <c r="U73" s="203">
        <v>-1</v>
      </c>
      <c r="V73" s="203">
        <v>-0.85</v>
      </c>
      <c r="W73" s="203">
        <v>-0.8</v>
      </c>
    </row>
    <row r="74" spans="1:23">
      <c r="A74" s="40" t="s">
        <v>50</v>
      </c>
      <c r="B74" s="40" t="s">
        <v>168</v>
      </c>
      <c r="C74" s="40" t="s">
        <v>163</v>
      </c>
      <c r="D74" s="40">
        <v>2025</v>
      </c>
    </row>
    <row r="75" spans="1:23">
      <c r="A75" s="40" t="s">
        <v>50</v>
      </c>
      <c r="B75" s="40" t="s">
        <v>168</v>
      </c>
      <c r="C75" s="40" t="s">
        <v>149</v>
      </c>
      <c r="D75" s="40">
        <v>2026</v>
      </c>
      <c r="E75" s="40">
        <v>2642.42993164063</v>
      </c>
      <c r="F75" s="40">
        <v>997.91998291015602</v>
      </c>
      <c r="H75" s="40">
        <v>760.29998779296898</v>
      </c>
      <c r="I75" s="40">
        <v>890.39001464843795</v>
      </c>
      <c r="K75" s="40">
        <v>68.339996337890597</v>
      </c>
      <c r="L75" s="40">
        <v>487.47000312805199</v>
      </c>
      <c r="N75" s="40">
        <v>198.98000144958499</v>
      </c>
      <c r="O75" s="40">
        <v>881.85002326965298</v>
      </c>
      <c r="Q75" s="40">
        <v>65</v>
      </c>
      <c r="R75" s="40">
        <v>3156.0299530029301</v>
      </c>
      <c r="S75" s="40">
        <v>22.920000076293899</v>
      </c>
      <c r="T75" s="40">
        <v>662.64001464843795</v>
      </c>
      <c r="V75" s="40">
        <v>888.75</v>
      </c>
      <c r="W75" s="40">
        <v>967.77001953125</v>
      </c>
    </row>
    <row r="76" spans="1:23">
      <c r="A76" s="40" t="s">
        <v>50</v>
      </c>
      <c r="B76" s="40" t="s">
        <v>168</v>
      </c>
      <c r="C76" s="40" t="s">
        <v>149</v>
      </c>
      <c r="D76" s="40" t="s">
        <v>15</v>
      </c>
      <c r="E76" s="203" t="s">
        <v>161</v>
      </c>
      <c r="F76" s="203" t="s">
        <v>161</v>
      </c>
      <c r="G76" s="40" t="s">
        <v>161</v>
      </c>
      <c r="H76" s="203" t="s">
        <v>161</v>
      </c>
      <c r="I76" s="203" t="s">
        <v>161</v>
      </c>
      <c r="J76" s="203" t="s">
        <v>161</v>
      </c>
      <c r="K76" s="203" t="s">
        <v>161</v>
      </c>
      <c r="L76" s="203" t="s">
        <v>161</v>
      </c>
      <c r="M76" s="203" t="s">
        <v>161</v>
      </c>
      <c r="N76" s="203" t="s">
        <v>161</v>
      </c>
      <c r="O76" s="203" t="s">
        <v>161</v>
      </c>
      <c r="P76" s="40" t="s">
        <v>161</v>
      </c>
      <c r="Q76" s="203" t="s">
        <v>161</v>
      </c>
      <c r="R76" s="203" t="s">
        <v>161</v>
      </c>
      <c r="S76" s="203" t="s">
        <v>161</v>
      </c>
      <c r="T76" s="203" t="s">
        <v>161</v>
      </c>
      <c r="U76" s="203" t="s">
        <v>161</v>
      </c>
      <c r="V76" s="203" t="s">
        <v>161</v>
      </c>
      <c r="W76" s="203" t="s">
        <v>161</v>
      </c>
    </row>
    <row r="77" spans="1:23">
      <c r="A77" s="40" t="s">
        <v>50</v>
      </c>
      <c r="B77" s="40" t="s">
        <v>135</v>
      </c>
      <c r="C77" s="40" t="s">
        <v>115</v>
      </c>
      <c r="D77" s="40">
        <v>2025</v>
      </c>
      <c r="E77" s="40">
        <v>17352.359375</v>
      </c>
      <c r="F77" s="40">
        <v>7243.10009765625</v>
      </c>
      <c r="H77" s="40">
        <v>8135.60009765625</v>
      </c>
      <c r="I77" s="40">
        <v>3565.0899658203102</v>
      </c>
      <c r="L77" s="40">
        <v>8341.3399047851599</v>
      </c>
      <c r="N77" s="40">
        <v>723.36997985839798</v>
      </c>
      <c r="O77" s="40">
        <v>15461.9299163818</v>
      </c>
      <c r="R77" s="40">
        <v>19450.590074539199</v>
      </c>
      <c r="S77" s="40">
        <v>733.35998535156295</v>
      </c>
      <c r="T77" s="40">
        <v>6285.8700408935501</v>
      </c>
      <c r="V77" s="40">
        <v>9679.06005859375</v>
      </c>
      <c r="W77" s="40">
        <v>2275</v>
      </c>
    </row>
    <row r="78" spans="1:23">
      <c r="A78" s="40" t="s">
        <v>50</v>
      </c>
      <c r="B78" s="40" t="s">
        <v>135</v>
      </c>
      <c r="C78" s="40" t="s">
        <v>166</v>
      </c>
      <c r="D78" s="40">
        <v>2026</v>
      </c>
      <c r="E78" s="40">
        <v>2040.5</v>
      </c>
      <c r="F78" s="40">
        <v>1110.92004394531</v>
      </c>
      <c r="H78" s="40">
        <v>555.760009765625</v>
      </c>
      <c r="I78" s="40">
        <v>478.38000488281301</v>
      </c>
      <c r="L78" s="40">
        <v>758.34001159668003</v>
      </c>
      <c r="N78" s="40">
        <v>103.33999633789099</v>
      </c>
      <c r="O78" s="40">
        <v>130</v>
      </c>
      <c r="Q78" s="40">
        <v>227.5</v>
      </c>
      <c r="R78" s="40">
        <v>2944.4000110626198</v>
      </c>
      <c r="S78" s="40">
        <v>137.5</v>
      </c>
      <c r="T78" s="40">
        <v>605.22998046875</v>
      </c>
      <c r="V78" s="40">
        <v>1975</v>
      </c>
      <c r="W78" s="40">
        <v>650</v>
      </c>
    </row>
    <row r="79" spans="1:23">
      <c r="A79" s="40" t="s">
        <v>50</v>
      </c>
      <c r="B79" s="40" t="s">
        <v>135</v>
      </c>
      <c r="C79" s="40" t="s">
        <v>166</v>
      </c>
      <c r="D79" s="40" t="s">
        <v>15</v>
      </c>
      <c r="E79" s="203">
        <v>-0.88</v>
      </c>
      <c r="F79" s="203">
        <v>-0.85</v>
      </c>
      <c r="G79" s="40" t="s">
        <v>161</v>
      </c>
      <c r="H79" s="203">
        <v>-0.93</v>
      </c>
      <c r="I79" s="203">
        <v>-0.87</v>
      </c>
      <c r="J79" s="203" t="s">
        <v>161</v>
      </c>
      <c r="K79" s="203" t="s">
        <v>161</v>
      </c>
      <c r="L79" s="203">
        <v>-0.91</v>
      </c>
      <c r="M79" s="203" t="s">
        <v>161</v>
      </c>
      <c r="N79" s="203">
        <v>-0.86</v>
      </c>
      <c r="O79" s="203">
        <v>-0.99</v>
      </c>
      <c r="P79" s="40" t="s">
        <v>161</v>
      </c>
      <c r="Q79" s="203" t="s">
        <v>161</v>
      </c>
      <c r="R79" s="203">
        <v>-0.85</v>
      </c>
      <c r="S79" s="203">
        <v>-0.81</v>
      </c>
      <c r="T79" s="203">
        <v>-0.9</v>
      </c>
      <c r="U79" s="203" t="s">
        <v>161</v>
      </c>
      <c r="V79" s="203">
        <v>-0.8</v>
      </c>
      <c r="W79" s="203">
        <v>-0.71</v>
      </c>
    </row>
    <row r="80" spans="1:23">
      <c r="A80" s="40" t="s">
        <v>50</v>
      </c>
      <c r="B80" s="40" t="s">
        <v>150</v>
      </c>
      <c r="C80" s="40" t="s">
        <v>162</v>
      </c>
      <c r="D80" s="40">
        <v>2025</v>
      </c>
      <c r="E80" s="40">
        <v>11651.580078125</v>
      </c>
      <c r="F80" s="40">
        <v>4662.740234375</v>
      </c>
      <c r="H80" s="40">
        <v>6041.10009765625</v>
      </c>
      <c r="I80" s="40">
        <v>2272.5099334716801</v>
      </c>
      <c r="L80" s="40">
        <v>3304.0299682617201</v>
      </c>
      <c r="M80" s="40">
        <v>299.66999511793301</v>
      </c>
      <c r="N80" s="40">
        <v>1123.3600158691399</v>
      </c>
      <c r="O80" s="40">
        <v>10897.479827880899</v>
      </c>
      <c r="Q80" s="40">
        <v>617.5</v>
      </c>
      <c r="R80" s="40">
        <v>6695.1598796844501</v>
      </c>
      <c r="S80" s="40">
        <v>275</v>
      </c>
      <c r="T80" s="40">
        <v>1257.57995605469</v>
      </c>
      <c r="U80" s="40">
        <v>686.66998291015602</v>
      </c>
      <c r="V80" s="40">
        <v>9426.1302490234393</v>
      </c>
      <c r="W80" s="40">
        <v>2665</v>
      </c>
    </row>
    <row r="81" spans="1:23">
      <c r="A81" s="40" t="s">
        <v>50</v>
      </c>
      <c r="B81" s="40" t="s">
        <v>150</v>
      </c>
      <c r="C81" s="40" t="s">
        <v>162</v>
      </c>
      <c r="D81" s="40">
        <v>2026</v>
      </c>
      <c r="E81" s="40">
        <v>2242.97998046875</v>
      </c>
      <c r="F81" s="40">
        <v>370.5</v>
      </c>
      <c r="H81" s="40">
        <v>841.60998535156295</v>
      </c>
      <c r="I81" s="40">
        <v>416.88000488281301</v>
      </c>
      <c r="L81" s="40">
        <v>243.719995498657</v>
      </c>
      <c r="M81" s="40">
        <v>123.59999847412099</v>
      </c>
      <c r="O81" s="40">
        <v>1040</v>
      </c>
      <c r="Q81" s="40">
        <v>65</v>
      </c>
      <c r="R81" s="40">
        <v>2258.6700286865198</v>
      </c>
      <c r="S81" s="40">
        <v>22.920000076293899</v>
      </c>
      <c r="T81" s="40">
        <v>31.670000076293899</v>
      </c>
      <c r="V81" s="40">
        <v>2435.82006835938</v>
      </c>
      <c r="W81" s="40">
        <v>715</v>
      </c>
    </row>
    <row r="82" spans="1:23">
      <c r="A82" s="40" t="s">
        <v>50</v>
      </c>
      <c r="B82" s="40" t="s">
        <v>150</v>
      </c>
      <c r="C82" s="40" t="s">
        <v>162</v>
      </c>
      <c r="D82" s="40" t="s">
        <v>15</v>
      </c>
      <c r="E82" s="203">
        <v>-0.81</v>
      </c>
      <c r="F82" s="203">
        <v>-0.92</v>
      </c>
      <c r="G82" s="40" t="s">
        <v>161</v>
      </c>
      <c r="H82" s="203">
        <v>-0.86</v>
      </c>
      <c r="I82" s="203">
        <v>-0.82</v>
      </c>
      <c r="J82" s="203" t="s">
        <v>161</v>
      </c>
      <c r="K82" s="203" t="s">
        <v>161</v>
      </c>
      <c r="L82" s="203">
        <v>-0.93</v>
      </c>
      <c r="M82" s="203">
        <v>-0.59</v>
      </c>
      <c r="N82" s="203">
        <v>-1</v>
      </c>
      <c r="O82" s="203">
        <v>-0.9</v>
      </c>
      <c r="P82" s="40" t="s">
        <v>161</v>
      </c>
      <c r="Q82" s="203">
        <v>-0.89</v>
      </c>
      <c r="R82" s="203">
        <v>-0.66</v>
      </c>
      <c r="S82" s="203">
        <v>-0.92</v>
      </c>
      <c r="T82" s="203">
        <v>-0.97</v>
      </c>
      <c r="U82" s="203">
        <v>-1</v>
      </c>
      <c r="V82" s="203">
        <v>-0.74</v>
      </c>
      <c r="W82" s="203">
        <v>-0.73</v>
      </c>
    </row>
    <row r="83" spans="1:23">
      <c r="A83" s="40" t="s">
        <v>50</v>
      </c>
      <c r="B83" s="40" t="s">
        <v>157</v>
      </c>
      <c r="C83" s="40" t="s">
        <v>189</v>
      </c>
      <c r="D83" s="40">
        <v>2025</v>
      </c>
      <c r="E83" s="40">
        <v>5991.56982421875</v>
      </c>
      <c r="F83" s="40">
        <v>3987.2099609375</v>
      </c>
      <c r="H83" s="40">
        <v>2910.15991210938</v>
      </c>
      <c r="I83" s="40">
        <v>1985.0199584960901</v>
      </c>
      <c r="J83" s="40">
        <v>239.19000244140599</v>
      </c>
      <c r="K83" s="40">
        <v>239.19000244140599</v>
      </c>
      <c r="L83" s="40">
        <v>2328.9100189208998</v>
      </c>
      <c r="M83" s="40">
        <v>1225.88000488281</v>
      </c>
      <c r="N83" s="40">
        <v>3489.2698822021498</v>
      </c>
      <c r="O83" s="40">
        <v>3347.76002883911</v>
      </c>
      <c r="Q83" s="40">
        <v>646.75</v>
      </c>
      <c r="R83" s="40">
        <v>11353.9501037598</v>
      </c>
      <c r="S83" s="40">
        <v>458.38000488281301</v>
      </c>
      <c r="T83" s="40">
        <v>1176.2400360107399</v>
      </c>
      <c r="U83" s="40">
        <v>508.32998657226602</v>
      </c>
      <c r="V83" s="40">
        <v>5351.1000213623001</v>
      </c>
      <c r="W83" s="40">
        <v>4582.5</v>
      </c>
    </row>
    <row r="84" spans="1:23">
      <c r="A84" s="40" t="s">
        <v>50</v>
      </c>
      <c r="B84" s="40" t="s">
        <v>157</v>
      </c>
      <c r="C84" s="40" t="s">
        <v>174</v>
      </c>
      <c r="D84" s="40">
        <v>2026</v>
      </c>
      <c r="E84" s="40">
        <v>804.09002685546898</v>
      </c>
      <c r="F84" s="40">
        <v>1069.2900390625</v>
      </c>
      <c r="H84" s="40">
        <v>610.65002441406295</v>
      </c>
      <c r="I84" s="40">
        <v>536.38000488281295</v>
      </c>
      <c r="K84" s="40">
        <v>205.00999450683599</v>
      </c>
      <c r="L84" s="40">
        <v>649.92998695373501</v>
      </c>
      <c r="M84" s="40">
        <v>168</v>
      </c>
      <c r="N84" s="40">
        <v>745.44001770019497</v>
      </c>
      <c r="O84" s="40">
        <v>1440.8500366210901</v>
      </c>
      <c r="Q84" s="40">
        <v>130</v>
      </c>
      <c r="R84" s="40">
        <v>1936</v>
      </c>
      <c r="S84" s="40">
        <v>22.920000076293899</v>
      </c>
      <c r="T84" s="40">
        <v>63.330001831054702</v>
      </c>
      <c r="U84" s="40">
        <v>165</v>
      </c>
      <c r="V84" s="40">
        <v>592.5</v>
      </c>
      <c r="W84" s="40">
        <v>645.30000305175804</v>
      </c>
    </row>
    <row r="85" spans="1:23">
      <c r="A85" s="40" t="s">
        <v>50</v>
      </c>
      <c r="B85" s="40" t="s">
        <v>157</v>
      </c>
      <c r="C85" s="40" t="s">
        <v>174</v>
      </c>
      <c r="D85" s="40" t="s">
        <v>15</v>
      </c>
      <c r="E85" s="203">
        <v>-0.87</v>
      </c>
      <c r="F85" s="203">
        <v>-0.73</v>
      </c>
      <c r="G85" s="40" t="s">
        <v>161</v>
      </c>
      <c r="H85" s="203">
        <v>-0.79</v>
      </c>
      <c r="I85" s="203">
        <v>-0.73</v>
      </c>
      <c r="J85" s="203">
        <v>-1</v>
      </c>
      <c r="K85" s="203">
        <v>-0.14000000000000001</v>
      </c>
      <c r="L85" s="203">
        <v>-0.72</v>
      </c>
      <c r="M85" s="203">
        <v>-0.86</v>
      </c>
      <c r="N85" s="203">
        <v>-0.79</v>
      </c>
      <c r="O85" s="203">
        <v>-0.56999999999999995</v>
      </c>
      <c r="P85" s="40" t="s">
        <v>161</v>
      </c>
      <c r="Q85" s="203">
        <v>-0.8</v>
      </c>
      <c r="R85" s="203">
        <v>-0.83</v>
      </c>
      <c r="S85" s="203">
        <v>-0.95</v>
      </c>
      <c r="T85" s="203">
        <v>-0.95</v>
      </c>
      <c r="U85" s="203">
        <v>-0.68</v>
      </c>
      <c r="V85" s="203">
        <v>-0.89</v>
      </c>
      <c r="W85" s="203">
        <v>-0.86</v>
      </c>
    </row>
    <row r="86" spans="1:23">
      <c r="A86" s="40" t="s">
        <v>50</v>
      </c>
      <c r="B86" s="40" t="s">
        <v>156</v>
      </c>
      <c r="C86" s="40" t="s">
        <v>121</v>
      </c>
      <c r="D86" s="40">
        <v>2025</v>
      </c>
      <c r="E86" s="40">
        <v>1885.69995117188</v>
      </c>
      <c r="F86" s="40">
        <v>1225.53002929688</v>
      </c>
      <c r="H86" s="40">
        <v>1230.2900390625</v>
      </c>
      <c r="I86" s="40">
        <v>557.68998718261696</v>
      </c>
      <c r="J86" s="40">
        <v>34.169998168945298</v>
      </c>
      <c r="L86" s="40">
        <v>1516.5499954223601</v>
      </c>
      <c r="M86" s="40">
        <v>420</v>
      </c>
      <c r="N86" s="40">
        <v>361.68998718261702</v>
      </c>
      <c r="O86" s="40">
        <v>1166.75999450684</v>
      </c>
      <c r="Q86" s="40">
        <v>149.5</v>
      </c>
      <c r="R86" s="40">
        <v>2137.6700286865198</v>
      </c>
      <c r="S86" s="40">
        <v>183.33999633789099</v>
      </c>
      <c r="T86" s="40">
        <v>275.67001342773398</v>
      </c>
      <c r="U86" s="40">
        <v>369.66999816894503</v>
      </c>
      <c r="V86" s="40">
        <v>2514.84008789063</v>
      </c>
      <c r="W86" s="40">
        <v>1560</v>
      </c>
    </row>
    <row r="87" spans="1:23">
      <c r="A87" s="40" t="s">
        <v>50</v>
      </c>
      <c r="B87" s="40" t="s">
        <v>156</v>
      </c>
      <c r="C87" s="40" t="s">
        <v>121</v>
      </c>
      <c r="D87" s="40">
        <v>2026</v>
      </c>
    </row>
    <row r="88" spans="1:23">
      <c r="A88" s="40" t="s">
        <v>50</v>
      </c>
      <c r="B88" s="40" t="s">
        <v>156</v>
      </c>
      <c r="C88" s="40" t="s">
        <v>121</v>
      </c>
      <c r="D88" s="40" t="s">
        <v>15</v>
      </c>
      <c r="E88" s="203">
        <v>-1</v>
      </c>
      <c r="F88" s="203">
        <v>-1</v>
      </c>
      <c r="G88" s="40" t="s">
        <v>161</v>
      </c>
      <c r="H88" s="203">
        <v>-1</v>
      </c>
      <c r="I88" s="203">
        <v>-1</v>
      </c>
      <c r="J88" s="203">
        <v>-1</v>
      </c>
      <c r="K88" s="203" t="s">
        <v>161</v>
      </c>
      <c r="L88" s="203">
        <v>-1</v>
      </c>
      <c r="M88" s="203">
        <v>-1</v>
      </c>
      <c r="N88" s="203">
        <v>-1</v>
      </c>
      <c r="O88" s="203">
        <v>-1</v>
      </c>
      <c r="P88" s="40" t="s">
        <v>161</v>
      </c>
      <c r="Q88" s="203">
        <v>-1</v>
      </c>
      <c r="R88" s="203">
        <v>-1</v>
      </c>
      <c r="S88" s="203">
        <v>-1</v>
      </c>
      <c r="T88" s="203">
        <v>-1</v>
      </c>
      <c r="U88" s="203">
        <v>-1</v>
      </c>
      <c r="V88" s="203">
        <v>-1</v>
      </c>
      <c r="W88" s="203">
        <v>-1</v>
      </c>
    </row>
    <row r="89" spans="1:23">
      <c r="A89" s="40" t="s">
        <v>50</v>
      </c>
      <c r="B89" s="40" t="s">
        <v>55</v>
      </c>
      <c r="C89" s="40" t="s">
        <v>55</v>
      </c>
      <c r="D89" s="40">
        <v>2025</v>
      </c>
      <c r="E89" s="40">
        <v>276859.82718753797</v>
      </c>
      <c r="F89" s="40">
        <v>125201.189453125</v>
      </c>
      <c r="G89" s="40">
        <v>0</v>
      </c>
      <c r="H89" s="40">
        <v>126050.687187195</v>
      </c>
      <c r="I89" s="40">
        <v>74331.709184646606</v>
      </c>
      <c r="J89" s="40">
        <v>0</v>
      </c>
      <c r="K89" s="40">
        <v>12545</v>
      </c>
      <c r="L89" s="40">
        <v>63934</v>
      </c>
      <c r="M89" s="40">
        <v>1799.47001886368</v>
      </c>
      <c r="N89" s="40">
        <v>7410.9008026123001</v>
      </c>
      <c r="O89" s="40">
        <v>8700.16015625</v>
      </c>
      <c r="P89" s="40">
        <v>0</v>
      </c>
      <c r="Q89" s="40">
        <v>6116.38000011444</v>
      </c>
      <c r="R89" s="40">
        <v>180679.423240662</v>
      </c>
      <c r="S89" s="40">
        <v>7638.75</v>
      </c>
      <c r="T89" s="40">
        <v>34166.039947509802</v>
      </c>
      <c r="U89" s="40">
        <v>10768.7303466797</v>
      </c>
      <c r="V89" s="40">
        <v>215572.919140816</v>
      </c>
      <c r="W89" s="40">
        <v>111391.48364257799</v>
      </c>
    </row>
    <row r="90" spans="1:23">
      <c r="A90" s="40" t="s">
        <v>50</v>
      </c>
      <c r="B90" s="40" t="s">
        <v>55</v>
      </c>
      <c r="C90" s="40" t="s">
        <v>55</v>
      </c>
      <c r="D90" s="40">
        <v>2026</v>
      </c>
      <c r="E90" s="40">
        <v>513.44000244140602</v>
      </c>
      <c r="F90" s="40">
        <v>11833.830078125</v>
      </c>
      <c r="G90" s="40">
        <v>0</v>
      </c>
      <c r="H90" s="40">
        <v>226.38999938964801</v>
      </c>
      <c r="I90" s="40">
        <v>0</v>
      </c>
      <c r="J90" s="40">
        <v>0</v>
      </c>
      <c r="K90" s="40">
        <v>0</v>
      </c>
      <c r="L90" s="40">
        <v>187.669998168945</v>
      </c>
      <c r="M90" s="40">
        <v>46.310000419616699</v>
      </c>
      <c r="N90" s="40">
        <v>334.23000335693399</v>
      </c>
      <c r="O90" s="40">
        <v>150.80000114440901</v>
      </c>
      <c r="P90" s="40">
        <v>0</v>
      </c>
      <c r="Q90" s="40">
        <v>0</v>
      </c>
      <c r="R90" s="40">
        <v>3986.03000640869</v>
      </c>
      <c r="S90" s="40">
        <v>22.459999084472699</v>
      </c>
      <c r="T90" s="40">
        <v>0</v>
      </c>
      <c r="U90" s="40">
        <v>0</v>
      </c>
      <c r="V90" s="40">
        <v>968.739990234375</v>
      </c>
      <c r="W90" s="40">
        <v>127.40000152587901</v>
      </c>
    </row>
    <row r="91" spans="1:23">
      <c r="A91" s="40" t="s">
        <v>50</v>
      </c>
      <c r="B91" s="40" t="s">
        <v>55</v>
      </c>
      <c r="C91" s="40" t="s">
        <v>55</v>
      </c>
      <c r="D91" s="40" t="s">
        <v>15</v>
      </c>
      <c r="E91" s="203">
        <v>-1</v>
      </c>
      <c r="F91" s="203">
        <v>-0.91</v>
      </c>
      <c r="G91" s="40" t="s">
        <v>161</v>
      </c>
      <c r="H91" s="203">
        <v>-1</v>
      </c>
      <c r="I91" s="203">
        <v>-1</v>
      </c>
      <c r="J91" s="203" t="s">
        <v>161</v>
      </c>
      <c r="K91" s="203">
        <v>-1</v>
      </c>
      <c r="L91" s="203">
        <v>-1</v>
      </c>
      <c r="M91" s="203">
        <v>-0.97</v>
      </c>
      <c r="N91" s="203">
        <v>-0.95</v>
      </c>
      <c r="O91" s="203">
        <v>-0.98</v>
      </c>
      <c r="P91" s="40" t="s">
        <v>161</v>
      </c>
      <c r="Q91" s="203">
        <v>-1</v>
      </c>
      <c r="R91" s="203">
        <v>-0.98</v>
      </c>
      <c r="S91" s="203">
        <v>-1</v>
      </c>
      <c r="T91" s="203">
        <v>-1</v>
      </c>
      <c r="U91" s="203">
        <v>-1</v>
      </c>
      <c r="V91" s="203">
        <v>-1</v>
      </c>
      <c r="W91" s="203">
        <v>-1</v>
      </c>
    </row>
    <row r="92" spans="1:23">
      <c r="A92" s="40" t="s">
        <v>50</v>
      </c>
      <c r="B92" s="40" t="s">
        <v>57</v>
      </c>
      <c r="C92" s="40" t="s">
        <v>146</v>
      </c>
      <c r="D92" s="40">
        <v>2025</v>
      </c>
      <c r="E92" s="40">
        <v>79161.639083862305</v>
      </c>
      <c r="F92" s="40">
        <v>52667.650634765603</v>
      </c>
      <c r="G92" s="40">
        <v>0</v>
      </c>
      <c r="H92" s="40">
        <v>48422.449752807603</v>
      </c>
      <c r="I92" s="40">
        <v>29307.4902954102</v>
      </c>
      <c r="J92" s="40">
        <v>2801.8100128173801</v>
      </c>
      <c r="K92" s="40">
        <v>615.03999328613304</v>
      </c>
      <c r="L92" s="40">
        <v>31956.079946517901</v>
      </c>
      <c r="M92" s="40">
        <v>6147.9199943542499</v>
      </c>
      <c r="N92" s="40">
        <v>6389.8198776245199</v>
      </c>
      <c r="O92" s="40">
        <v>62387.119394302303</v>
      </c>
      <c r="P92" s="40">
        <v>0</v>
      </c>
      <c r="Q92" s="40">
        <v>6974.5</v>
      </c>
      <c r="R92" s="40">
        <v>105139.069526672</v>
      </c>
      <c r="S92" s="40">
        <v>1558.40001106262</v>
      </c>
      <c r="T92" s="40">
        <v>9185.2798938751293</v>
      </c>
      <c r="U92" s="40">
        <v>5247</v>
      </c>
      <c r="V92" s="40">
        <v>57886.409423828103</v>
      </c>
      <c r="W92" s="40">
        <v>12473.770011901899</v>
      </c>
    </row>
    <row r="93" spans="1:23">
      <c r="A93" s="40" t="s">
        <v>50</v>
      </c>
      <c r="B93" s="40" t="s">
        <v>57</v>
      </c>
      <c r="C93" s="40" t="s">
        <v>146</v>
      </c>
      <c r="D93" s="40">
        <v>2026</v>
      </c>
      <c r="E93" s="40">
        <v>7878.3099365234402</v>
      </c>
      <c r="F93" s="40">
        <v>7006.2800292968896</v>
      </c>
      <c r="G93" s="40">
        <v>0</v>
      </c>
      <c r="H93" s="40">
        <v>5035.9400634765698</v>
      </c>
      <c r="I93" s="40">
        <v>3771.4600067138699</v>
      </c>
      <c r="J93" s="40">
        <v>34.169998168945298</v>
      </c>
      <c r="K93" s="40">
        <v>375.85998535156199</v>
      </c>
      <c r="L93" s="40">
        <v>-2410.6101684570299</v>
      </c>
      <c r="M93" s="40">
        <v>582.78999996185303</v>
      </c>
      <c r="N93" s="40">
        <v>713.70998001098701</v>
      </c>
      <c r="O93" s="40">
        <v>7035.05005073547</v>
      </c>
      <c r="P93" s="40">
        <v>0</v>
      </c>
      <c r="Q93" s="40">
        <v>750.75</v>
      </c>
      <c r="R93" s="40">
        <v>14761.749982833901</v>
      </c>
      <c r="S93" s="40">
        <v>45.840000152587798</v>
      </c>
      <c r="T93" s="40">
        <v>1826.0600051879901</v>
      </c>
      <c r="U93" s="40">
        <v>1023</v>
      </c>
      <c r="V93" s="40">
        <v>7860.4900512695303</v>
      </c>
      <c r="W93" s="40">
        <v>3491.2000007629399</v>
      </c>
    </row>
    <row r="94" spans="1:23">
      <c r="A94" s="40" t="s">
        <v>50</v>
      </c>
      <c r="B94" s="40" t="s">
        <v>57</v>
      </c>
      <c r="C94" s="40" t="s">
        <v>146</v>
      </c>
      <c r="D94" s="40" t="s">
        <v>15</v>
      </c>
      <c r="E94" s="203">
        <v>-0.9</v>
      </c>
      <c r="F94" s="203">
        <v>-0.87</v>
      </c>
      <c r="G94" s="40" t="s">
        <v>161</v>
      </c>
      <c r="H94" s="203">
        <v>-0.9</v>
      </c>
      <c r="I94" s="203">
        <v>-0.87</v>
      </c>
      <c r="J94" s="203">
        <v>-0.99</v>
      </c>
      <c r="K94" s="203">
        <v>-0.39</v>
      </c>
      <c r="L94" s="203">
        <v>-1.08</v>
      </c>
      <c r="M94" s="203">
        <v>-0.91</v>
      </c>
      <c r="N94" s="203">
        <v>-0.89</v>
      </c>
      <c r="O94" s="203">
        <v>-0.89</v>
      </c>
      <c r="P94" s="40" t="s">
        <v>161</v>
      </c>
      <c r="Q94" s="203">
        <v>-0.89</v>
      </c>
      <c r="R94" s="203">
        <v>-0.86</v>
      </c>
      <c r="S94" s="203">
        <v>-0.97</v>
      </c>
      <c r="T94" s="203">
        <v>-0.8</v>
      </c>
      <c r="U94" s="203">
        <v>-0.81</v>
      </c>
      <c r="V94" s="203">
        <v>-0.86</v>
      </c>
      <c r="W94" s="203">
        <v>-0.72</v>
      </c>
    </row>
    <row r="95" spans="1:23">
      <c r="A95" s="40" t="s">
        <v>50</v>
      </c>
      <c r="B95" s="40" t="s">
        <v>58</v>
      </c>
      <c r="C95" s="40" t="s">
        <v>160</v>
      </c>
      <c r="D95" s="40">
        <v>2025</v>
      </c>
      <c r="E95" s="40">
        <v>93447.719238281294</v>
      </c>
      <c r="F95" s="40">
        <v>38426.480224609397</v>
      </c>
      <c r="G95" s="40">
        <v>0</v>
      </c>
      <c r="H95" s="40">
        <v>50230.369995117202</v>
      </c>
      <c r="I95" s="40">
        <v>23135.569778442401</v>
      </c>
      <c r="J95" s="40">
        <v>2425.9800262451199</v>
      </c>
      <c r="K95" s="40">
        <v>1605.8800354003899</v>
      </c>
      <c r="L95" s="40">
        <v>36885.069976806597</v>
      </c>
      <c r="M95" s="40">
        <v>6668.1199806220802</v>
      </c>
      <c r="N95" s="40">
        <v>16918.5996551514</v>
      </c>
      <c r="O95" s="40">
        <v>56424.099979400598</v>
      </c>
      <c r="P95" s="40">
        <v>0</v>
      </c>
      <c r="Q95" s="40">
        <v>4566.25</v>
      </c>
      <c r="R95" s="40">
        <v>103344.06987762501</v>
      </c>
      <c r="S95" s="40">
        <v>2864.7799606323301</v>
      </c>
      <c r="T95" s="40">
        <v>11389.890054702801</v>
      </c>
      <c r="U95" s="40">
        <v>6847.1699676513699</v>
      </c>
      <c r="V95" s="40">
        <v>68685.8796424865</v>
      </c>
      <c r="W95" s="40">
        <v>25800.409755706802</v>
      </c>
    </row>
    <row r="96" spans="1:23">
      <c r="A96" s="40" t="s">
        <v>50</v>
      </c>
      <c r="B96" s="40" t="s">
        <v>58</v>
      </c>
      <c r="C96" s="40" t="s">
        <v>160</v>
      </c>
      <c r="D96" s="40">
        <v>2026</v>
      </c>
      <c r="E96" s="40">
        <v>18474.760192871101</v>
      </c>
      <c r="F96" s="40">
        <v>9621.5802001953107</v>
      </c>
      <c r="G96" s="40">
        <v>0</v>
      </c>
      <c r="H96" s="40">
        <v>10405.1502075195</v>
      </c>
      <c r="I96" s="40">
        <v>5053.2800598144504</v>
      </c>
      <c r="J96" s="40">
        <v>0</v>
      </c>
      <c r="K96" s="40">
        <v>717.54998779296898</v>
      </c>
      <c r="L96" s="40">
        <v>5416.3300151824997</v>
      </c>
      <c r="M96" s="40">
        <v>1328.7300109863299</v>
      </c>
      <c r="N96" s="40">
        <v>2751.6400179862999</v>
      </c>
      <c r="O96" s="40">
        <v>9432.0799775123596</v>
      </c>
      <c r="P96" s="40">
        <v>0</v>
      </c>
      <c r="Q96" s="40">
        <v>926.25</v>
      </c>
      <c r="R96" s="40">
        <v>20671.039899826101</v>
      </c>
      <c r="S96" s="40">
        <v>366.69000053405699</v>
      </c>
      <c r="T96" s="40">
        <v>1569.2000007629399</v>
      </c>
      <c r="U96" s="40">
        <v>528</v>
      </c>
      <c r="V96" s="40">
        <v>10782.4200286865</v>
      </c>
      <c r="W96" s="40">
        <v>6501.3700256347702</v>
      </c>
    </row>
    <row r="97" spans="1:23">
      <c r="A97" s="40" t="s">
        <v>50</v>
      </c>
      <c r="B97" s="40" t="s">
        <v>58</v>
      </c>
      <c r="C97" s="40" t="s">
        <v>160</v>
      </c>
      <c r="D97" s="40" t="s">
        <v>15</v>
      </c>
      <c r="E97" s="203">
        <v>-0.8</v>
      </c>
      <c r="F97" s="203">
        <v>-0.75</v>
      </c>
      <c r="G97" s="40" t="s">
        <v>161</v>
      </c>
      <c r="H97" s="203">
        <v>-0.79</v>
      </c>
      <c r="I97" s="203">
        <v>-0.78</v>
      </c>
      <c r="J97" s="203">
        <v>-1</v>
      </c>
      <c r="K97" s="203">
        <v>-0.55000000000000004</v>
      </c>
      <c r="L97" s="203">
        <v>-0.85</v>
      </c>
      <c r="M97" s="203">
        <v>-0.8</v>
      </c>
      <c r="N97" s="203">
        <v>-0.84</v>
      </c>
      <c r="O97" s="203">
        <v>-0.83</v>
      </c>
      <c r="P97" s="40" t="s">
        <v>161</v>
      </c>
      <c r="Q97" s="203">
        <v>-0.8</v>
      </c>
      <c r="R97" s="203">
        <v>-0.8</v>
      </c>
      <c r="S97" s="203">
        <v>-0.87</v>
      </c>
      <c r="T97" s="203">
        <v>-0.86</v>
      </c>
      <c r="U97" s="203">
        <v>-0.92</v>
      </c>
      <c r="V97" s="203">
        <v>-0.84</v>
      </c>
      <c r="W97" s="203">
        <v>-0.75</v>
      </c>
    </row>
    <row r="98" spans="1:23">
      <c r="A98" s="40" t="s">
        <v>50</v>
      </c>
      <c r="B98" s="40" t="s">
        <v>59</v>
      </c>
      <c r="C98" s="40" t="s">
        <v>59</v>
      </c>
      <c r="D98" s="40">
        <v>2025</v>
      </c>
      <c r="E98" s="40">
        <v>449469.18550968199</v>
      </c>
      <c r="F98" s="40">
        <v>216295.3203125</v>
      </c>
      <c r="G98" s="40">
        <v>0</v>
      </c>
      <c r="H98" s="40">
        <v>224703.50693512001</v>
      </c>
      <c r="I98" s="40">
        <v>126774.769258499</v>
      </c>
      <c r="J98" s="40">
        <v>5227.7900390625</v>
      </c>
      <c r="K98" s="40">
        <v>14765.9200286865</v>
      </c>
      <c r="L98" s="40">
        <v>132775.14992332499</v>
      </c>
      <c r="M98" s="40">
        <v>14615.50999384</v>
      </c>
      <c r="N98" s="40">
        <v>30719.320335388202</v>
      </c>
      <c r="O98" s="40">
        <v>127511.379529953</v>
      </c>
      <c r="P98" s="40">
        <v>0</v>
      </c>
      <c r="Q98" s="40">
        <v>17657.130000114401</v>
      </c>
      <c r="R98" s="40">
        <v>389162.56264495902</v>
      </c>
      <c r="S98" s="40">
        <v>12061.929971694901</v>
      </c>
      <c r="T98" s="40">
        <v>54741.209896087603</v>
      </c>
      <c r="U98" s="40">
        <v>22862.900314331098</v>
      </c>
      <c r="V98" s="40">
        <v>342145.20820713002</v>
      </c>
      <c r="W98" s="40">
        <v>149665.663410187</v>
      </c>
    </row>
    <row r="99" spans="1:23">
      <c r="A99" s="40" t="s">
        <v>50</v>
      </c>
      <c r="B99" s="40" t="s">
        <v>59</v>
      </c>
      <c r="C99" s="40" t="s">
        <v>59</v>
      </c>
      <c r="D99" s="40">
        <v>2026</v>
      </c>
      <c r="E99" s="40">
        <v>26866.510131835901</v>
      </c>
      <c r="F99" s="40">
        <v>28461.690307617198</v>
      </c>
      <c r="G99" s="40">
        <v>0</v>
      </c>
      <c r="H99" s="40">
        <v>15667.4802703857</v>
      </c>
      <c r="I99" s="40">
        <v>8824.7400665283203</v>
      </c>
      <c r="J99" s="40">
        <v>34.169998168945298</v>
      </c>
      <c r="K99" s="40">
        <v>1093.4099731445301</v>
      </c>
      <c r="L99" s="40">
        <v>3193.3898448944101</v>
      </c>
      <c r="M99" s="40">
        <v>1957.8300113677999</v>
      </c>
      <c r="N99" s="40">
        <v>3799.5800013542198</v>
      </c>
      <c r="O99" s="40">
        <v>16617.930029392199</v>
      </c>
      <c r="P99" s="40">
        <v>0</v>
      </c>
      <c r="Q99" s="40">
        <v>1677</v>
      </c>
      <c r="R99" s="40">
        <v>39418.819889068604</v>
      </c>
      <c r="S99" s="40">
        <v>434.98999977111799</v>
      </c>
      <c r="T99" s="40">
        <v>3395.26000595093</v>
      </c>
      <c r="U99" s="40">
        <v>1551</v>
      </c>
      <c r="V99" s="40">
        <v>19611.650070190401</v>
      </c>
      <c r="W99" s="40">
        <v>10119.9700279236</v>
      </c>
    </row>
    <row r="100" spans="1:23">
      <c r="A100" s="40" t="s">
        <v>50</v>
      </c>
      <c r="B100" s="40" t="s">
        <v>59</v>
      </c>
      <c r="C100" s="40" t="s">
        <v>59</v>
      </c>
      <c r="D100" s="40" t="s">
        <v>15</v>
      </c>
      <c r="E100" s="203">
        <v>-0.94</v>
      </c>
      <c r="F100" s="203">
        <v>-0.87</v>
      </c>
      <c r="G100" s="40" t="s">
        <v>161</v>
      </c>
      <c r="H100" s="203">
        <v>-0.93</v>
      </c>
      <c r="I100" s="203">
        <v>-0.93</v>
      </c>
      <c r="J100" s="203">
        <v>-0.99</v>
      </c>
      <c r="K100" s="203">
        <v>-0.93</v>
      </c>
      <c r="L100" s="203">
        <v>-0.98</v>
      </c>
      <c r="M100" s="203">
        <v>-0.87</v>
      </c>
      <c r="N100" s="203">
        <v>-0.88</v>
      </c>
      <c r="O100" s="203">
        <v>-0.87</v>
      </c>
      <c r="P100" s="40" t="s">
        <v>161</v>
      </c>
      <c r="Q100" s="203">
        <v>-0.91</v>
      </c>
      <c r="R100" s="203">
        <v>-0.9</v>
      </c>
      <c r="S100" s="203">
        <v>-0.96</v>
      </c>
      <c r="T100" s="203">
        <v>-0.94</v>
      </c>
      <c r="U100" s="203">
        <v>-0.93</v>
      </c>
      <c r="V100" s="203">
        <v>-0.94</v>
      </c>
      <c r="W100" s="203">
        <v>-0.93</v>
      </c>
    </row>
  </sheetData>
  <mergeCells count="9">
    <mergeCell ref="T2:W2"/>
    <mergeCell ref="A5:B5"/>
    <mergeCell ref="E5:G5"/>
    <mergeCell ref="H5:I5"/>
    <mergeCell ref="J5:M5"/>
    <mergeCell ref="N5:P5"/>
    <mergeCell ref="S5:U5"/>
    <mergeCell ref="V5:V6"/>
    <mergeCell ref="W5:W6"/>
  </mergeCells>
  <pageMargins left="0.19685039370078741" right="0.19685039370078741" top="0.19685039370078741" bottom="0.19685039370078741" header="0.11811023622047245" footer="0.19685039370078741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0"/>
  <sheetViews>
    <sheetView zoomScale="75" workbookViewId="0">
      <pane xSplit="3" ySplit="7" topLeftCell="D8" activePane="bottomRight" state="frozenSplit"/>
      <selection activeCell="N158" sqref="N158"/>
      <selection pane="topRight" activeCell="N158" sqref="N158"/>
      <selection pane="bottomLeft" activeCell="N158" sqref="N158"/>
      <selection pane="bottomRight" activeCell="A8" sqref="A8:AD100"/>
    </sheetView>
  </sheetViews>
  <sheetFormatPr baseColWidth="10" defaultRowHeight="12.75"/>
  <cols>
    <col min="1" max="1" width="19.85546875" style="40" customWidth="1"/>
    <col min="2" max="2" width="25.140625" style="40" customWidth="1"/>
    <col min="3" max="3" width="31.7109375" style="40" bestFit="1" customWidth="1"/>
    <col min="4" max="4" width="5.85546875" style="40" bestFit="1" customWidth="1"/>
    <col min="5" max="5" width="9.140625" style="40" bestFit="1" customWidth="1"/>
    <col min="6" max="6" width="8.5703125" style="40" customWidth="1"/>
    <col min="7" max="7" width="8.28515625" style="40" customWidth="1"/>
    <col min="8" max="8" width="7.42578125" style="40" customWidth="1"/>
    <col min="9" max="9" width="7.7109375" style="40" customWidth="1"/>
    <col min="10" max="10" width="9.140625" style="40" customWidth="1"/>
    <col min="11" max="12" width="7.85546875" style="40" customWidth="1"/>
    <col min="13" max="13" width="8.140625" style="40" customWidth="1"/>
    <col min="14" max="14" width="7.7109375" style="40" customWidth="1"/>
    <col min="15" max="15" width="8" style="40" customWidth="1"/>
    <col min="16" max="16" width="7.85546875" style="40" customWidth="1"/>
    <col min="17" max="17" width="8" style="40" customWidth="1"/>
    <col min="18" max="18" width="8.85546875" style="40" bestFit="1" customWidth="1"/>
    <col min="19" max="19" width="8.42578125" style="40" customWidth="1"/>
    <col min="20" max="20" width="8.140625" style="40" customWidth="1"/>
    <col min="21" max="21" width="8.42578125" style="40" customWidth="1"/>
    <col min="22" max="22" width="7.5703125" style="40" customWidth="1"/>
    <col min="23" max="23" width="8.140625" style="40" bestFit="1" customWidth="1"/>
    <col min="24" max="24" width="46.28515625" style="40" bestFit="1" customWidth="1"/>
    <col min="25" max="16384" width="11.42578125" style="40"/>
  </cols>
  <sheetData>
    <row r="1" spans="1:23" ht="9.75" customHeight="1">
      <c r="A1" s="74" t="s">
        <v>0</v>
      </c>
      <c r="B1" s="63"/>
      <c r="C1" s="62"/>
      <c r="D1" s="62"/>
    </row>
    <row r="2" spans="1:23" ht="24.75" customHeight="1">
      <c r="A2" s="73" t="s">
        <v>4</v>
      </c>
      <c r="B2" s="63"/>
      <c r="C2" s="62"/>
      <c r="D2" s="62"/>
      <c r="G2" s="67"/>
      <c r="H2" s="72" t="s">
        <v>117</v>
      </c>
      <c r="I2" s="67"/>
      <c r="J2" s="67"/>
      <c r="K2" s="67"/>
      <c r="S2" s="71"/>
      <c r="T2" s="235">
        <f ca="1">+TODAY()</f>
        <v>46179</v>
      </c>
      <c r="U2" s="235"/>
      <c r="V2" s="235"/>
      <c r="W2" s="235"/>
    </row>
    <row r="3" spans="1:23">
      <c r="A3" s="68"/>
      <c r="B3" s="68"/>
      <c r="C3" s="68"/>
      <c r="D3" s="68"/>
      <c r="E3" s="68"/>
      <c r="F3" s="68"/>
      <c r="G3" s="68"/>
      <c r="H3" s="68"/>
      <c r="I3" s="70"/>
      <c r="J3" s="70" t="s">
        <v>216</v>
      </c>
      <c r="K3" s="70"/>
      <c r="L3" s="69"/>
      <c r="M3" s="68"/>
      <c r="N3" s="68"/>
      <c r="O3" s="68"/>
      <c r="P3" s="68"/>
      <c r="Q3" s="68"/>
      <c r="R3" s="68"/>
      <c r="S3" s="68"/>
      <c r="T3" s="68"/>
      <c r="U3" s="68"/>
    </row>
    <row r="4" spans="1:23" ht="13.5" thickBot="1">
      <c r="A4" s="64"/>
      <c r="B4" s="63"/>
      <c r="C4" s="62"/>
      <c r="D4" s="62"/>
      <c r="F4" s="67"/>
      <c r="G4" s="67"/>
      <c r="H4" s="67"/>
      <c r="I4" s="67"/>
      <c r="J4" s="67"/>
      <c r="K4" s="67"/>
    </row>
    <row r="5" spans="1:23" ht="14.25" customHeight="1">
      <c r="A5" s="236"/>
      <c r="B5" s="236"/>
      <c r="C5" s="62"/>
      <c r="D5" s="62"/>
      <c r="E5" s="237" t="s">
        <v>49</v>
      </c>
      <c r="F5" s="238"/>
      <c r="G5" s="239"/>
      <c r="H5" s="240" t="s">
        <v>111</v>
      </c>
      <c r="I5" s="241"/>
      <c r="J5" s="242" t="s">
        <v>48</v>
      </c>
      <c r="K5" s="243"/>
      <c r="L5" s="243"/>
      <c r="M5" s="244"/>
      <c r="N5" s="245" t="s">
        <v>47</v>
      </c>
      <c r="O5" s="246"/>
      <c r="P5" s="247"/>
      <c r="Q5" s="75" t="s">
        <v>46</v>
      </c>
      <c r="R5" s="76" t="s">
        <v>45</v>
      </c>
      <c r="S5" s="240" t="s">
        <v>44</v>
      </c>
      <c r="T5" s="243"/>
      <c r="U5" s="241"/>
      <c r="V5" s="248" t="s">
        <v>43</v>
      </c>
      <c r="W5" s="248" t="s">
        <v>42</v>
      </c>
    </row>
    <row r="6" spans="1:23" ht="14.25" customHeight="1" thickBot="1">
      <c r="A6" s="64"/>
      <c r="B6" s="63"/>
      <c r="C6" s="62"/>
      <c r="D6" s="62"/>
      <c r="E6" s="61">
        <v>10</v>
      </c>
      <c r="F6" s="60">
        <v>100</v>
      </c>
      <c r="G6" s="59" t="s">
        <v>41</v>
      </c>
      <c r="H6" s="53">
        <v>10</v>
      </c>
      <c r="I6" s="55">
        <v>100</v>
      </c>
      <c r="J6" s="57" t="s">
        <v>40</v>
      </c>
      <c r="K6" s="58" t="s">
        <v>39</v>
      </c>
      <c r="L6" s="58" t="s">
        <v>38</v>
      </c>
      <c r="M6" s="56" t="s">
        <v>37</v>
      </c>
      <c r="N6" s="53">
        <v>36</v>
      </c>
      <c r="O6" s="58" t="s">
        <v>36</v>
      </c>
      <c r="P6" s="55">
        <v>60</v>
      </c>
      <c r="Q6" s="57" t="s">
        <v>35</v>
      </c>
      <c r="R6" s="56" t="s">
        <v>34</v>
      </c>
      <c r="S6" s="55" t="s">
        <v>33</v>
      </c>
      <c r="T6" s="54">
        <v>88.5</v>
      </c>
      <c r="U6" s="53" t="s">
        <v>32</v>
      </c>
      <c r="V6" s="249"/>
      <c r="W6" s="249"/>
    </row>
    <row r="7" spans="1:23" ht="14.25" customHeight="1" thickBot="1">
      <c r="A7" s="52" t="s">
        <v>25</v>
      </c>
      <c r="B7" s="51" t="s">
        <v>2</v>
      </c>
      <c r="C7" s="51" t="s">
        <v>2</v>
      </c>
      <c r="D7" s="50" t="s">
        <v>26</v>
      </c>
      <c r="E7" s="49">
        <v>401101</v>
      </c>
      <c r="F7" s="48">
        <v>401103</v>
      </c>
      <c r="G7" s="47">
        <v>401106</v>
      </c>
      <c r="H7" s="42">
        <v>402101</v>
      </c>
      <c r="I7" s="44">
        <v>402103</v>
      </c>
      <c r="J7" s="46">
        <v>406110</v>
      </c>
      <c r="K7" s="43">
        <v>406120</v>
      </c>
      <c r="L7" s="43" t="s">
        <v>31</v>
      </c>
      <c r="M7" s="45" t="s">
        <v>30</v>
      </c>
      <c r="N7" s="42" t="s">
        <v>29</v>
      </c>
      <c r="O7" s="43" t="s">
        <v>28</v>
      </c>
      <c r="P7" s="44" t="s">
        <v>27</v>
      </c>
      <c r="Q7" s="46">
        <v>408101</v>
      </c>
      <c r="R7" s="45"/>
      <c r="S7" s="44">
        <v>415104</v>
      </c>
      <c r="T7" s="43">
        <v>415201</v>
      </c>
      <c r="U7" s="42">
        <v>415307</v>
      </c>
      <c r="V7" s="41"/>
      <c r="W7" s="41"/>
    </row>
    <row r="8" spans="1:23">
      <c r="A8" s="40" t="s">
        <v>50</v>
      </c>
      <c r="B8" s="40" t="s">
        <v>51</v>
      </c>
      <c r="C8" s="40" t="s">
        <v>56</v>
      </c>
      <c r="D8" s="40">
        <v>2025</v>
      </c>
      <c r="E8" s="40">
        <v>317305.18383789097</v>
      </c>
      <c r="F8" s="40">
        <v>183312.44830322301</v>
      </c>
      <c r="H8" s="40">
        <v>163752.00683593799</v>
      </c>
      <c r="I8" s="40">
        <v>106263.670562744</v>
      </c>
      <c r="K8" s="40">
        <v>2145</v>
      </c>
      <c r="L8" s="40">
        <v>132886</v>
      </c>
      <c r="M8" s="40">
        <v>58987.449760436997</v>
      </c>
      <c r="N8" s="40">
        <v>283732.77597045898</v>
      </c>
      <c r="O8" s="40">
        <v>253128.77357482901</v>
      </c>
      <c r="Q8" s="40">
        <v>1850</v>
      </c>
      <c r="R8" s="40">
        <v>147401.27177429199</v>
      </c>
      <c r="S8" s="40">
        <v>8437.5</v>
      </c>
      <c r="T8" s="40">
        <v>22220.6699371338</v>
      </c>
      <c r="U8" s="40">
        <v>48008.310379028298</v>
      </c>
      <c r="V8" s="40">
        <v>227921.25</v>
      </c>
      <c r="W8" s="40">
        <v>165914.904541016</v>
      </c>
    </row>
    <row r="9" spans="1:23">
      <c r="A9" s="40" t="s">
        <v>50</v>
      </c>
      <c r="B9" s="40" t="s">
        <v>51</v>
      </c>
      <c r="C9" s="40" t="s">
        <v>56</v>
      </c>
      <c r="D9" s="40">
        <v>2026</v>
      </c>
      <c r="E9" s="40">
        <v>203407.33886718799</v>
      </c>
      <c r="F9" s="40">
        <v>97219.578613281294</v>
      </c>
      <c r="H9" s="40">
        <v>119048.78051757799</v>
      </c>
      <c r="I9" s="40">
        <v>87681.160812377901</v>
      </c>
      <c r="K9" s="40">
        <v>1462.5</v>
      </c>
      <c r="L9" s="40">
        <v>80262</v>
      </c>
      <c r="M9" s="40">
        <v>29779.670272827101</v>
      </c>
      <c r="N9" s="40">
        <v>114100.541427612</v>
      </c>
      <c r="O9" s="40">
        <v>100253.750991821</v>
      </c>
      <c r="Q9" s="40">
        <v>370</v>
      </c>
      <c r="R9" s="40">
        <v>61074.600097656301</v>
      </c>
      <c r="S9" s="40">
        <v>1125</v>
      </c>
      <c r="T9" s="40">
        <v>916.66998291015602</v>
      </c>
      <c r="U9" s="40">
        <v>30941.6796264648</v>
      </c>
      <c r="V9" s="40">
        <v>114975</v>
      </c>
      <c r="W9" s="40">
        <v>111440</v>
      </c>
    </row>
    <row r="10" spans="1:23">
      <c r="A10" s="40" t="s">
        <v>50</v>
      </c>
      <c r="B10" s="40" t="s">
        <v>51</v>
      </c>
      <c r="C10" s="40" t="s">
        <v>56</v>
      </c>
      <c r="D10" s="40" t="s">
        <v>15</v>
      </c>
      <c r="E10" s="203">
        <v>-0.36</v>
      </c>
      <c r="F10" s="203">
        <v>-0.47</v>
      </c>
      <c r="G10" s="40" t="s">
        <v>161</v>
      </c>
      <c r="H10" s="203">
        <v>-0.27</v>
      </c>
      <c r="I10" s="203">
        <v>-0.17</v>
      </c>
      <c r="J10" s="40" t="s">
        <v>161</v>
      </c>
      <c r="K10" s="203">
        <v>-0.32</v>
      </c>
      <c r="L10" s="203">
        <v>-0.4</v>
      </c>
      <c r="M10" s="203">
        <v>-0.5</v>
      </c>
      <c r="N10" s="203">
        <v>-0.6</v>
      </c>
      <c r="O10" s="203">
        <v>-0.6</v>
      </c>
      <c r="P10" s="40" t="s">
        <v>161</v>
      </c>
      <c r="Q10" s="203">
        <v>-0.8</v>
      </c>
      <c r="R10" s="203">
        <v>-0.59</v>
      </c>
      <c r="S10" s="203">
        <v>-0.87</v>
      </c>
      <c r="T10" s="203">
        <v>-0.96</v>
      </c>
      <c r="U10" s="203">
        <v>-0.36</v>
      </c>
      <c r="V10" s="203">
        <v>-0.5</v>
      </c>
      <c r="W10" s="203">
        <v>-0.33</v>
      </c>
    </row>
    <row r="11" spans="1:23">
      <c r="A11" s="40" t="s">
        <v>50</v>
      </c>
      <c r="B11" s="40" t="s">
        <v>52</v>
      </c>
      <c r="C11" s="40" t="s">
        <v>53</v>
      </c>
      <c r="D11" s="40">
        <v>2025</v>
      </c>
      <c r="E11" s="40">
        <v>2272909.59692383</v>
      </c>
      <c r="F11" s="40">
        <v>1884730.89245605</v>
      </c>
      <c r="H11" s="40">
        <v>1180193.5407104499</v>
      </c>
      <c r="I11" s="40">
        <v>764328.92175293004</v>
      </c>
      <c r="J11" s="40">
        <v>402</v>
      </c>
      <c r="K11" s="40">
        <v>1300</v>
      </c>
      <c r="L11" s="40">
        <v>1586884.5</v>
      </c>
      <c r="M11" s="40">
        <v>183583.549395084</v>
      </c>
      <c r="N11" s="40">
        <v>1601181.9677734401</v>
      </c>
      <c r="O11" s="40">
        <v>2172054.53682137</v>
      </c>
      <c r="Q11" s="40">
        <v>21851.919921875</v>
      </c>
      <c r="R11" s="40">
        <v>1116129.1137409201</v>
      </c>
      <c r="S11" s="40">
        <v>16413.75</v>
      </c>
      <c r="T11" s="40">
        <v>118861.379699707</v>
      </c>
      <c r="U11" s="40">
        <v>144220.67102050799</v>
      </c>
      <c r="V11" s="40">
        <v>972398.962890625</v>
      </c>
      <c r="W11" s="40">
        <v>568284.84075927699</v>
      </c>
    </row>
    <row r="12" spans="1:23">
      <c r="A12" s="40" t="s">
        <v>50</v>
      </c>
      <c r="B12" s="40" t="s">
        <v>52</v>
      </c>
      <c r="C12" s="40" t="s">
        <v>53</v>
      </c>
      <c r="D12" s="40">
        <v>2026</v>
      </c>
      <c r="E12" s="40">
        <v>2116398.03125</v>
      </c>
      <c r="F12" s="40">
        <v>1616886.234375</v>
      </c>
      <c r="H12" s="40">
        <v>1250436.9140625</v>
      </c>
      <c r="I12" s="40">
        <v>809218.96954345703</v>
      </c>
      <c r="J12" s="40">
        <v>3900</v>
      </c>
      <c r="K12" s="40">
        <v>73645</v>
      </c>
      <c r="L12" s="40">
        <v>1591564</v>
      </c>
      <c r="M12" s="40">
        <v>166866.75057983401</v>
      </c>
      <c r="N12" s="40">
        <v>951893.70936584496</v>
      </c>
      <c r="O12" s="40">
        <v>1417058.6970138501</v>
      </c>
      <c r="Q12" s="40">
        <v>10730</v>
      </c>
      <c r="R12" s="40">
        <v>1146061.74910164</v>
      </c>
      <c r="S12" s="40">
        <v>26887.5</v>
      </c>
      <c r="T12" s="40">
        <v>191465.470703125</v>
      </c>
      <c r="U12" s="40">
        <v>161241.640625</v>
      </c>
      <c r="V12" s="40">
        <v>932600</v>
      </c>
      <c r="W12" s="40">
        <v>889522.419921875</v>
      </c>
    </row>
    <row r="13" spans="1:23">
      <c r="A13" s="40" t="s">
        <v>50</v>
      </c>
      <c r="B13" s="40" t="s">
        <v>52</v>
      </c>
      <c r="C13" s="40" t="s">
        <v>53</v>
      </c>
      <c r="D13" s="40" t="s">
        <v>15</v>
      </c>
      <c r="E13" s="203">
        <v>-7.0000000000000007E-2</v>
      </c>
      <c r="F13" s="203">
        <v>-0.14000000000000001</v>
      </c>
      <c r="G13" s="40" t="s">
        <v>161</v>
      </c>
      <c r="H13" s="203">
        <v>0.06</v>
      </c>
      <c r="I13" s="203">
        <v>0.06</v>
      </c>
      <c r="J13" s="203">
        <v>8.6999999999999993</v>
      </c>
      <c r="K13" s="203" t="s">
        <v>200</v>
      </c>
      <c r="L13" s="203">
        <v>0</v>
      </c>
      <c r="M13" s="203">
        <v>-0.09</v>
      </c>
      <c r="N13" s="203">
        <v>-0.41</v>
      </c>
      <c r="O13" s="203">
        <v>-0.35</v>
      </c>
      <c r="P13" s="40" t="s">
        <v>161</v>
      </c>
      <c r="Q13" s="203">
        <v>-0.51</v>
      </c>
      <c r="R13" s="203">
        <v>0.03</v>
      </c>
      <c r="S13" s="203">
        <v>0.64</v>
      </c>
      <c r="T13" s="203">
        <v>0.61</v>
      </c>
      <c r="U13" s="203">
        <v>0.12</v>
      </c>
      <c r="V13" s="203">
        <v>-0.04</v>
      </c>
      <c r="W13" s="203">
        <v>0.56999999999999995</v>
      </c>
    </row>
    <row r="14" spans="1:23">
      <c r="A14" s="40" t="s">
        <v>50</v>
      </c>
      <c r="B14" s="40" t="s">
        <v>170</v>
      </c>
      <c r="C14" s="40" t="s">
        <v>54</v>
      </c>
      <c r="D14" s="40">
        <v>2025</v>
      </c>
      <c r="E14" s="40">
        <v>1927676.125</v>
      </c>
      <c r="F14" s="40">
        <v>1128216.3984375</v>
      </c>
      <c r="H14" s="40">
        <v>1042664.671875</v>
      </c>
      <c r="I14" s="40">
        <v>591214.10375976597</v>
      </c>
      <c r="K14" s="40">
        <v>78747.5</v>
      </c>
      <c r="L14" s="40">
        <v>1868204</v>
      </c>
      <c r="M14" s="40">
        <v>192910.64749908401</v>
      </c>
      <c r="N14" s="40">
        <v>1266724.5323333701</v>
      </c>
      <c r="O14" s="40">
        <v>401183.58879089402</v>
      </c>
      <c r="Q14" s="40">
        <v>61028.419921875</v>
      </c>
      <c r="R14" s="40">
        <v>2612892.6665019998</v>
      </c>
      <c r="S14" s="40">
        <v>28552.5</v>
      </c>
      <c r="T14" s="40">
        <v>220455.32519531299</v>
      </c>
      <c r="V14" s="40">
        <v>838925.17016601597</v>
      </c>
      <c r="W14" s="40">
        <v>359335.17092895502</v>
      </c>
    </row>
    <row r="15" spans="1:23">
      <c r="A15" s="40" t="s">
        <v>50</v>
      </c>
      <c r="B15" s="40" t="s">
        <v>170</v>
      </c>
      <c r="C15" s="40" t="s">
        <v>54</v>
      </c>
      <c r="D15" s="40">
        <v>2026</v>
      </c>
      <c r="E15" s="40">
        <v>1975493.4765625</v>
      </c>
      <c r="F15" s="40">
        <v>980218.92578125</v>
      </c>
      <c r="H15" s="40">
        <v>1181706.4277343799</v>
      </c>
      <c r="I15" s="40">
        <v>688640.27062988305</v>
      </c>
      <c r="K15" s="40">
        <v>215280</v>
      </c>
      <c r="L15" s="40">
        <v>2009098</v>
      </c>
      <c r="M15" s="40">
        <v>153577.16957855201</v>
      </c>
      <c r="N15" s="40">
        <v>1457372.1209144599</v>
      </c>
      <c r="O15" s="40">
        <v>618975.99720764195</v>
      </c>
      <c r="Q15" s="40">
        <v>64632.830078125</v>
      </c>
      <c r="R15" s="40">
        <v>2208239.6905002599</v>
      </c>
      <c r="S15" s="40">
        <v>41355</v>
      </c>
      <c r="T15" s="40">
        <v>200719.69732666001</v>
      </c>
      <c r="V15" s="40">
        <v>944393.75</v>
      </c>
      <c r="W15" s="40">
        <v>490154.208984375</v>
      </c>
    </row>
    <row r="16" spans="1:23">
      <c r="A16" s="40" t="s">
        <v>50</v>
      </c>
      <c r="B16" s="40" t="s">
        <v>170</v>
      </c>
      <c r="C16" s="40" t="s">
        <v>54</v>
      </c>
      <c r="D16" s="40" t="s">
        <v>15</v>
      </c>
      <c r="E16" s="203">
        <v>0.02</v>
      </c>
      <c r="F16" s="203">
        <v>-0.13</v>
      </c>
      <c r="G16" s="40" t="s">
        <v>161</v>
      </c>
      <c r="H16" s="203">
        <v>0.13</v>
      </c>
      <c r="I16" s="203">
        <v>0.16</v>
      </c>
      <c r="J16" s="203" t="s">
        <v>161</v>
      </c>
      <c r="K16" s="203">
        <v>1.73</v>
      </c>
      <c r="L16" s="203">
        <v>0.08</v>
      </c>
      <c r="M16" s="203">
        <v>-0.2</v>
      </c>
      <c r="N16" s="203">
        <v>0.15</v>
      </c>
      <c r="O16" s="203">
        <v>0.54</v>
      </c>
      <c r="P16" s="40" t="s">
        <v>161</v>
      </c>
      <c r="Q16" s="203">
        <v>0.06</v>
      </c>
      <c r="R16" s="203">
        <v>-0.15</v>
      </c>
      <c r="S16" s="203">
        <v>0.45</v>
      </c>
      <c r="T16" s="203">
        <v>-0.09</v>
      </c>
      <c r="U16" s="40" t="s">
        <v>161</v>
      </c>
      <c r="V16" s="203">
        <v>0.13</v>
      </c>
      <c r="W16" s="203">
        <v>0.36</v>
      </c>
    </row>
    <row r="17" spans="1:23">
      <c r="A17" s="40" t="s">
        <v>50</v>
      </c>
      <c r="B17" s="40" t="s">
        <v>173</v>
      </c>
      <c r="C17" s="40" t="s">
        <v>163</v>
      </c>
      <c r="D17" s="40">
        <v>2025</v>
      </c>
    </row>
    <row r="18" spans="1:23">
      <c r="A18" s="40" t="s">
        <v>50</v>
      </c>
      <c r="B18" s="40" t="s">
        <v>173</v>
      </c>
      <c r="C18" s="40" t="s">
        <v>115</v>
      </c>
      <c r="D18" s="40">
        <v>2026</v>
      </c>
      <c r="N18" s="40">
        <v>-126.5</v>
      </c>
      <c r="W18" s="40">
        <v>1456</v>
      </c>
    </row>
    <row r="19" spans="1:23">
      <c r="A19" s="40" t="s">
        <v>50</v>
      </c>
      <c r="B19" s="40" t="s">
        <v>173</v>
      </c>
      <c r="C19" s="40" t="s">
        <v>115</v>
      </c>
      <c r="D19" s="40" t="s">
        <v>15</v>
      </c>
      <c r="E19" s="203" t="s">
        <v>161</v>
      </c>
      <c r="F19" s="203" t="s">
        <v>161</v>
      </c>
      <c r="G19" s="40" t="s">
        <v>161</v>
      </c>
      <c r="H19" s="203" t="s">
        <v>161</v>
      </c>
      <c r="I19" s="203" t="s">
        <v>161</v>
      </c>
      <c r="J19" s="40" t="s">
        <v>161</v>
      </c>
      <c r="K19" s="203" t="s">
        <v>161</v>
      </c>
      <c r="L19" s="203" t="s">
        <v>161</v>
      </c>
      <c r="M19" s="203" t="s">
        <v>161</v>
      </c>
      <c r="N19" s="203" t="s">
        <v>161</v>
      </c>
      <c r="O19" s="203" t="s">
        <v>161</v>
      </c>
      <c r="P19" s="40" t="s">
        <v>161</v>
      </c>
      <c r="Q19" s="203" t="s">
        <v>161</v>
      </c>
      <c r="R19" s="203" t="s">
        <v>161</v>
      </c>
      <c r="S19" s="203" t="s">
        <v>161</v>
      </c>
      <c r="T19" s="203" t="s">
        <v>161</v>
      </c>
      <c r="U19" s="203" t="s">
        <v>161</v>
      </c>
      <c r="V19" s="203" t="s">
        <v>161</v>
      </c>
      <c r="W19" s="203" t="s">
        <v>161</v>
      </c>
    </row>
    <row r="20" spans="1:23">
      <c r="A20" s="40" t="s">
        <v>50</v>
      </c>
      <c r="B20" s="40" t="s">
        <v>171</v>
      </c>
      <c r="C20" s="40" t="s">
        <v>163</v>
      </c>
      <c r="D20" s="40">
        <v>2025</v>
      </c>
    </row>
    <row r="21" spans="1:23">
      <c r="A21" s="40" t="s">
        <v>50</v>
      </c>
      <c r="B21" s="40" t="s">
        <v>171</v>
      </c>
      <c r="C21" s="40" t="s">
        <v>172</v>
      </c>
      <c r="D21" s="40">
        <v>2026</v>
      </c>
      <c r="E21" s="40">
        <v>86531.6806030273</v>
      </c>
      <c r="F21" s="40">
        <v>16326.9899845123</v>
      </c>
      <c r="H21" s="40">
        <v>48184.510101318403</v>
      </c>
      <c r="I21" s="40">
        <v>15589.0700397491</v>
      </c>
      <c r="J21" s="40">
        <v>6002.8198852539099</v>
      </c>
      <c r="L21" s="40">
        <v>36147.340232849099</v>
      </c>
      <c r="M21" s="40">
        <v>27335.010228395498</v>
      </c>
      <c r="N21" s="40">
        <v>39748.030727386496</v>
      </c>
      <c r="O21" s="40">
        <v>108630.530205727</v>
      </c>
      <c r="Q21" s="40">
        <v>1619.3200073242199</v>
      </c>
      <c r="R21" s="40">
        <v>75958.940423965498</v>
      </c>
      <c r="S21" s="40">
        <v>430.64000129699701</v>
      </c>
      <c r="T21" s="40">
        <v>806.50000190734897</v>
      </c>
      <c r="U21" s="40">
        <v>1551.15002441406</v>
      </c>
      <c r="V21" s="40">
        <v>24284.420089721702</v>
      </c>
      <c r="W21" s="40">
        <v>13040.069816589399</v>
      </c>
    </row>
    <row r="22" spans="1:23">
      <c r="A22" s="40" t="s">
        <v>50</v>
      </c>
      <c r="B22" s="40" t="s">
        <v>171</v>
      </c>
      <c r="C22" s="40" t="s">
        <v>172</v>
      </c>
      <c r="D22" s="40" t="s">
        <v>15</v>
      </c>
      <c r="E22" s="203" t="s">
        <v>161</v>
      </c>
      <c r="F22" s="203" t="s">
        <v>161</v>
      </c>
      <c r="G22" s="40" t="s">
        <v>161</v>
      </c>
      <c r="H22" s="203" t="s">
        <v>161</v>
      </c>
      <c r="I22" s="203" t="s">
        <v>161</v>
      </c>
      <c r="J22" s="203" t="s">
        <v>161</v>
      </c>
      <c r="K22" s="203" t="s">
        <v>161</v>
      </c>
      <c r="L22" s="203" t="s">
        <v>161</v>
      </c>
      <c r="M22" s="203" t="s">
        <v>161</v>
      </c>
      <c r="N22" s="203" t="s">
        <v>161</v>
      </c>
      <c r="O22" s="203" t="s">
        <v>161</v>
      </c>
      <c r="P22" s="40" t="s">
        <v>161</v>
      </c>
      <c r="Q22" s="203" t="s">
        <v>161</v>
      </c>
      <c r="R22" s="203" t="s">
        <v>161</v>
      </c>
      <c r="S22" s="203" t="s">
        <v>161</v>
      </c>
      <c r="T22" s="203" t="s">
        <v>161</v>
      </c>
      <c r="U22" s="203" t="s">
        <v>161</v>
      </c>
      <c r="V22" s="203" t="s">
        <v>161</v>
      </c>
      <c r="W22" s="203" t="s">
        <v>161</v>
      </c>
    </row>
    <row r="23" spans="1:23">
      <c r="A23" s="40" t="s">
        <v>50</v>
      </c>
      <c r="B23" s="40" t="s">
        <v>192</v>
      </c>
      <c r="C23" s="40" t="s">
        <v>163</v>
      </c>
      <c r="D23" s="40">
        <v>2025</v>
      </c>
    </row>
    <row r="24" spans="1:23">
      <c r="A24" s="40" t="s">
        <v>50</v>
      </c>
      <c r="B24" s="40" t="s">
        <v>192</v>
      </c>
      <c r="C24" s="40" t="s">
        <v>193</v>
      </c>
      <c r="D24" s="40">
        <v>2026</v>
      </c>
      <c r="E24" s="40">
        <v>702.08000183105503</v>
      </c>
      <c r="H24" s="40">
        <v>226.38999938964801</v>
      </c>
      <c r="L24" s="40">
        <v>214.749998092651</v>
      </c>
      <c r="M24" s="40">
        <v>46.310000419616699</v>
      </c>
      <c r="N24" s="40">
        <v>334.23000335693399</v>
      </c>
      <c r="O24" s="40">
        <v>150.80000114440901</v>
      </c>
      <c r="Q24" s="40">
        <v>32.5</v>
      </c>
      <c r="R24" s="40">
        <v>656.43000793456997</v>
      </c>
      <c r="S24" s="40">
        <v>22.459999084472699</v>
      </c>
      <c r="V24" s="40">
        <v>968.739990234375</v>
      </c>
      <c r="W24" s="40">
        <v>127.40000152587901</v>
      </c>
    </row>
    <row r="25" spans="1:23">
      <c r="A25" s="40" t="s">
        <v>50</v>
      </c>
      <c r="B25" s="40" t="s">
        <v>192</v>
      </c>
      <c r="C25" s="40" t="s">
        <v>193</v>
      </c>
      <c r="D25" s="40" t="s">
        <v>15</v>
      </c>
      <c r="E25" s="203" t="s">
        <v>161</v>
      </c>
      <c r="F25" s="203" t="s">
        <v>161</v>
      </c>
      <c r="G25" s="40" t="s">
        <v>161</v>
      </c>
      <c r="H25" s="203" t="s">
        <v>161</v>
      </c>
      <c r="I25" s="203" t="s">
        <v>161</v>
      </c>
      <c r="J25" s="40" t="s">
        <v>161</v>
      </c>
      <c r="K25" s="203" t="s">
        <v>161</v>
      </c>
      <c r="L25" s="203" t="s">
        <v>161</v>
      </c>
      <c r="M25" s="203" t="s">
        <v>161</v>
      </c>
      <c r="N25" s="203" t="s">
        <v>161</v>
      </c>
      <c r="O25" s="203" t="s">
        <v>161</v>
      </c>
      <c r="P25" s="40" t="s">
        <v>161</v>
      </c>
      <c r="Q25" s="203" t="s">
        <v>161</v>
      </c>
      <c r="R25" s="203" t="s">
        <v>161</v>
      </c>
      <c r="S25" s="203" t="s">
        <v>161</v>
      </c>
      <c r="T25" s="203" t="s">
        <v>161</v>
      </c>
      <c r="U25" s="203" t="s">
        <v>161</v>
      </c>
      <c r="V25" s="203" t="s">
        <v>161</v>
      </c>
      <c r="W25" s="203" t="s">
        <v>161</v>
      </c>
    </row>
    <row r="26" spans="1:23">
      <c r="A26" s="40" t="s">
        <v>50</v>
      </c>
      <c r="B26" s="40" t="s">
        <v>120</v>
      </c>
      <c r="C26" s="40" t="s">
        <v>120</v>
      </c>
      <c r="D26" s="40">
        <v>2025</v>
      </c>
      <c r="E26" s="40">
        <v>615.81999969482399</v>
      </c>
      <c r="F26" s="40">
        <v>36987.9402389526</v>
      </c>
      <c r="H26" s="40">
        <v>442.22000598907499</v>
      </c>
      <c r="I26" s="40">
        <v>12510.2300834656</v>
      </c>
      <c r="L26" s="40">
        <v>568.76000595092796</v>
      </c>
      <c r="M26" s="40">
        <v>20000.4797363281</v>
      </c>
      <c r="N26" s="40">
        <v>168580.65966796901</v>
      </c>
      <c r="O26" s="40">
        <v>193.39000034332301</v>
      </c>
      <c r="Q26" s="40">
        <v>20.490000009536701</v>
      </c>
      <c r="R26" s="40">
        <v>5715.7999548912003</v>
      </c>
      <c r="T26" s="40">
        <v>6166.669921875</v>
      </c>
      <c r="U26" s="40">
        <v>11541.6698608398</v>
      </c>
      <c r="V26" s="40">
        <v>1323.95994853973</v>
      </c>
      <c r="W26" s="40">
        <v>39.809999465942397</v>
      </c>
    </row>
    <row r="27" spans="1:23">
      <c r="A27" s="40" t="s">
        <v>50</v>
      </c>
      <c r="B27" s="40" t="s">
        <v>120</v>
      </c>
      <c r="C27" s="40" t="s">
        <v>120</v>
      </c>
      <c r="D27" s="40">
        <v>2026</v>
      </c>
      <c r="E27" s="40">
        <v>4415.2200012207004</v>
      </c>
      <c r="F27" s="40">
        <v>35919.8994140625</v>
      </c>
      <c r="H27" s="40">
        <v>17333.939281463601</v>
      </c>
      <c r="I27" s="40">
        <v>14469.8300018311</v>
      </c>
      <c r="L27" s="40">
        <v>246.459999084473</v>
      </c>
      <c r="M27" s="40">
        <v>18911.2498841286</v>
      </c>
      <c r="N27" s="40">
        <v>49440.180454731002</v>
      </c>
      <c r="O27" s="40">
        <v>20303.029528617899</v>
      </c>
      <c r="Q27" s="40">
        <v>20.4799995422363</v>
      </c>
      <c r="R27" s="40">
        <v>23143.220079422001</v>
      </c>
      <c r="U27" s="40">
        <v>5354.169921875</v>
      </c>
      <c r="V27" s="40">
        <v>8471.7999992370605</v>
      </c>
      <c r="W27" s="40">
        <v>4498.9599994420996</v>
      </c>
    </row>
    <row r="28" spans="1:23">
      <c r="A28" s="40" t="s">
        <v>50</v>
      </c>
      <c r="B28" s="40" t="s">
        <v>120</v>
      </c>
      <c r="C28" s="40" t="s">
        <v>120</v>
      </c>
      <c r="D28" s="40" t="s">
        <v>15</v>
      </c>
      <c r="E28" s="203">
        <v>6.17</v>
      </c>
      <c r="F28" s="203">
        <v>-0.03</v>
      </c>
      <c r="G28" s="40" t="s">
        <v>161</v>
      </c>
      <c r="H28" s="203" t="s">
        <v>201</v>
      </c>
      <c r="I28" s="203">
        <v>0.16</v>
      </c>
      <c r="J28" s="203" t="s">
        <v>161</v>
      </c>
      <c r="K28" s="203" t="s">
        <v>161</v>
      </c>
      <c r="L28" s="203">
        <v>-0.56999999999999995</v>
      </c>
      <c r="M28" s="203">
        <v>-0.05</v>
      </c>
      <c r="N28" s="203">
        <v>-0.71</v>
      </c>
      <c r="O28" s="203" t="s">
        <v>198</v>
      </c>
      <c r="P28" s="40" t="s">
        <v>161</v>
      </c>
      <c r="Q28" s="203">
        <v>0</v>
      </c>
      <c r="R28" s="203">
        <v>3.05</v>
      </c>
      <c r="S28" s="203" t="s">
        <v>161</v>
      </c>
      <c r="T28" s="203">
        <v>-1</v>
      </c>
      <c r="U28" s="203">
        <v>-0.54</v>
      </c>
      <c r="V28" s="203">
        <v>5.4</v>
      </c>
      <c r="W28" s="203" t="s">
        <v>195</v>
      </c>
    </row>
    <row r="29" spans="1:23">
      <c r="A29" s="40" t="s">
        <v>50</v>
      </c>
      <c r="B29" s="40" t="s">
        <v>107</v>
      </c>
      <c r="C29" s="40" t="s">
        <v>153</v>
      </c>
      <c r="D29" s="40">
        <v>2025</v>
      </c>
      <c r="E29" s="40">
        <v>87029.3115234375</v>
      </c>
      <c r="F29" s="40">
        <v>60590.358886718801</v>
      </c>
      <c r="H29" s="40">
        <v>45171.449707031301</v>
      </c>
      <c r="I29" s="40">
        <v>35248.930053710901</v>
      </c>
      <c r="J29" s="40">
        <v>5511.5799865722702</v>
      </c>
      <c r="K29" s="40">
        <v>1195.8900604247999</v>
      </c>
      <c r="L29" s="40">
        <v>50128.429870605498</v>
      </c>
      <c r="M29" s="40">
        <v>21248.200213432301</v>
      </c>
      <c r="N29" s="40">
        <v>21246.6500511169</v>
      </c>
      <c r="O29" s="40">
        <v>193522.241355896</v>
      </c>
      <c r="Q29" s="40">
        <v>5161</v>
      </c>
      <c r="R29" s="40">
        <v>59703.959445953398</v>
      </c>
      <c r="S29" s="40">
        <v>2887.6699523925799</v>
      </c>
      <c r="T29" s="40">
        <v>13992.4999256134</v>
      </c>
      <c r="U29" s="40">
        <v>14336.180023193399</v>
      </c>
      <c r="V29" s="40">
        <v>43432.539916992202</v>
      </c>
      <c r="W29" s="40">
        <v>29577.6600112915</v>
      </c>
    </row>
    <row r="30" spans="1:23">
      <c r="A30" s="40" t="s">
        <v>50</v>
      </c>
      <c r="B30" s="40" t="s">
        <v>107</v>
      </c>
      <c r="C30" s="40" t="s">
        <v>153</v>
      </c>
      <c r="D30" s="40">
        <v>2026</v>
      </c>
      <c r="E30" s="40">
        <v>97623.330688476606</v>
      </c>
      <c r="F30" s="40">
        <v>83052.080566406294</v>
      </c>
      <c r="H30" s="40">
        <v>56182.841003417998</v>
      </c>
      <c r="I30" s="40">
        <v>37669.239799499497</v>
      </c>
      <c r="J30" s="40">
        <v>1161.7200317382801</v>
      </c>
      <c r="K30" s="40">
        <v>2596.7399597168001</v>
      </c>
      <c r="L30" s="40">
        <v>58578.9789848328</v>
      </c>
      <c r="M30" s="40">
        <v>17485.129862785299</v>
      </c>
      <c r="N30" s="40">
        <v>37086.259967803999</v>
      </c>
      <c r="O30" s="40">
        <v>196563.03190994301</v>
      </c>
      <c r="Q30" s="40">
        <v>3991</v>
      </c>
      <c r="R30" s="40">
        <v>48671.510187148997</v>
      </c>
      <c r="S30" s="40">
        <v>2750.07005500793</v>
      </c>
      <c r="T30" s="40">
        <v>14862.750352859501</v>
      </c>
      <c r="U30" s="40">
        <v>12470.179992675799</v>
      </c>
      <c r="V30" s="40">
        <v>33632.679550170898</v>
      </c>
      <c r="W30" s="40">
        <v>45388.960092544599</v>
      </c>
    </row>
    <row r="31" spans="1:23">
      <c r="A31" s="40" t="s">
        <v>50</v>
      </c>
      <c r="B31" s="40" t="s">
        <v>107</v>
      </c>
      <c r="C31" s="40" t="s">
        <v>153</v>
      </c>
      <c r="D31" s="40" t="s">
        <v>15</v>
      </c>
      <c r="E31" s="203">
        <v>0.12</v>
      </c>
      <c r="F31" s="203">
        <v>0.37</v>
      </c>
      <c r="G31" s="40" t="s">
        <v>161</v>
      </c>
      <c r="H31" s="203">
        <v>0.24</v>
      </c>
      <c r="I31" s="203">
        <v>7.0000000000000007E-2</v>
      </c>
      <c r="J31" s="203">
        <v>-0.79</v>
      </c>
      <c r="K31" s="203">
        <v>1.17</v>
      </c>
      <c r="L31" s="203">
        <v>0.17</v>
      </c>
      <c r="M31" s="203">
        <v>-0.18</v>
      </c>
      <c r="N31" s="203">
        <v>0.75</v>
      </c>
      <c r="O31" s="203">
        <v>0.02</v>
      </c>
      <c r="P31" s="40" t="s">
        <v>161</v>
      </c>
      <c r="Q31" s="203">
        <v>-0.23</v>
      </c>
      <c r="R31" s="203">
        <v>-0.18</v>
      </c>
      <c r="S31" s="203">
        <v>-0.05</v>
      </c>
      <c r="T31" s="203">
        <v>0.06</v>
      </c>
      <c r="U31" s="203">
        <v>-0.13</v>
      </c>
      <c r="V31" s="203">
        <v>-0.23</v>
      </c>
      <c r="W31" s="203">
        <v>0.53</v>
      </c>
    </row>
    <row r="32" spans="1:23">
      <c r="A32" s="40" t="s">
        <v>50</v>
      </c>
      <c r="B32" s="40" t="s">
        <v>108</v>
      </c>
      <c r="C32" s="40" t="s">
        <v>142</v>
      </c>
      <c r="D32" s="40">
        <v>2025</v>
      </c>
      <c r="E32" s="40">
        <v>1499.51999664307</v>
      </c>
      <c r="F32" s="40">
        <v>1129.15002441406</v>
      </c>
      <c r="H32" s="40">
        <v>1133.92002868652</v>
      </c>
      <c r="I32" s="40">
        <v>598.72999572753895</v>
      </c>
      <c r="J32" s="40">
        <v>345.83000183105497</v>
      </c>
      <c r="L32" s="40">
        <v>649.92998886108398</v>
      </c>
      <c r="M32" s="40">
        <v>199.53000068664599</v>
      </c>
      <c r="N32" s="40">
        <v>247.50999450683599</v>
      </c>
      <c r="O32" s="40">
        <v>1751.0199794769301</v>
      </c>
      <c r="Q32" s="40">
        <v>162.5</v>
      </c>
      <c r="R32" s="40">
        <v>1280.5699806213399</v>
      </c>
      <c r="S32" s="40">
        <v>22.920000076293899</v>
      </c>
      <c r="T32" s="40">
        <v>188.330001831055</v>
      </c>
      <c r="U32" s="40">
        <v>715</v>
      </c>
      <c r="V32" s="40">
        <v>928.41000366210903</v>
      </c>
      <c r="W32" s="40">
        <v>1613.1700134277301</v>
      </c>
    </row>
    <row r="33" spans="1:23">
      <c r="A33" s="40" t="s">
        <v>50</v>
      </c>
      <c r="B33" s="40" t="s">
        <v>108</v>
      </c>
      <c r="C33" s="40" t="s">
        <v>142</v>
      </c>
      <c r="D33" s="40">
        <v>2026</v>
      </c>
      <c r="E33" s="40">
        <v>326.25</v>
      </c>
      <c r="F33" s="40">
        <v>557.39001464843795</v>
      </c>
      <c r="H33" s="40">
        <v>139.30999755859401</v>
      </c>
      <c r="I33" s="40">
        <v>553.30000305175804</v>
      </c>
      <c r="L33" s="40">
        <v>704.08998107910202</v>
      </c>
      <c r="M33" s="40">
        <v>667.15999221801803</v>
      </c>
      <c r="N33" s="40">
        <v>231.25</v>
      </c>
      <c r="O33" s="40">
        <v>-159.98001098632801</v>
      </c>
      <c r="Q33" s="40">
        <v>32.5</v>
      </c>
      <c r="R33" s="40">
        <v>1915.8000106811501</v>
      </c>
      <c r="U33" s="40">
        <v>55</v>
      </c>
      <c r="V33" s="40">
        <v>888.739990234375</v>
      </c>
      <c r="W33" s="40">
        <v>130</v>
      </c>
    </row>
    <row r="34" spans="1:23">
      <c r="A34" s="40" t="s">
        <v>50</v>
      </c>
      <c r="B34" s="40" t="s">
        <v>108</v>
      </c>
      <c r="C34" s="40" t="s">
        <v>142</v>
      </c>
      <c r="D34" s="40" t="s">
        <v>15</v>
      </c>
      <c r="E34" s="203">
        <v>-0.78</v>
      </c>
      <c r="F34" s="203">
        <v>-0.51</v>
      </c>
      <c r="G34" s="40" t="s">
        <v>161</v>
      </c>
      <c r="H34" s="203">
        <v>-0.88</v>
      </c>
      <c r="I34" s="203">
        <v>-0.08</v>
      </c>
      <c r="J34" s="203">
        <v>-1</v>
      </c>
      <c r="K34" s="203" t="s">
        <v>161</v>
      </c>
      <c r="L34" s="203">
        <v>0.08</v>
      </c>
      <c r="M34" s="203">
        <v>2.34</v>
      </c>
      <c r="N34" s="203">
        <v>-7.0000000000000007E-2</v>
      </c>
      <c r="O34" s="203">
        <v>-1.0900000000000001</v>
      </c>
      <c r="P34" s="40" t="s">
        <v>161</v>
      </c>
      <c r="Q34" s="203">
        <v>-0.8</v>
      </c>
      <c r="R34" s="203">
        <v>0.5</v>
      </c>
      <c r="S34" s="203">
        <v>-1</v>
      </c>
      <c r="T34" s="203">
        <v>-1</v>
      </c>
      <c r="U34" s="203">
        <v>-0.92</v>
      </c>
      <c r="V34" s="203">
        <v>-0.04</v>
      </c>
      <c r="W34" s="203">
        <v>-0.92</v>
      </c>
    </row>
    <row r="35" spans="1:23">
      <c r="A35" s="40" t="s">
        <v>50</v>
      </c>
      <c r="B35" s="40" t="s">
        <v>109</v>
      </c>
      <c r="C35" s="40" t="s">
        <v>114</v>
      </c>
      <c r="D35" s="40">
        <v>2025</v>
      </c>
      <c r="E35" s="40">
        <v>106297.792480469</v>
      </c>
      <c r="F35" s="40">
        <v>69525.630859375</v>
      </c>
      <c r="H35" s="40">
        <v>50800.400024414099</v>
      </c>
      <c r="I35" s="40">
        <v>38924.099517822302</v>
      </c>
      <c r="J35" s="40">
        <v>3654.9400634765602</v>
      </c>
      <c r="K35" s="40">
        <v>1298.39001464844</v>
      </c>
      <c r="L35" s="40">
        <v>65512.729328155503</v>
      </c>
      <c r="M35" s="40">
        <v>29563.049694061301</v>
      </c>
      <c r="N35" s="40">
        <v>7103.1700048446701</v>
      </c>
      <c r="O35" s="40">
        <v>145304.20972442601</v>
      </c>
      <c r="Q35" s="40">
        <v>8245.25</v>
      </c>
      <c r="R35" s="40">
        <v>74807.780176162705</v>
      </c>
      <c r="S35" s="40">
        <v>3300.1799812316899</v>
      </c>
      <c r="T35" s="40">
        <v>6053.87990188599</v>
      </c>
      <c r="U35" s="40">
        <v>13998.8299865723</v>
      </c>
      <c r="V35" s="40">
        <v>93024.160797119097</v>
      </c>
      <c r="W35" s="40">
        <v>5372.2199201583899</v>
      </c>
    </row>
    <row r="36" spans="1:23">
      <c r="A36" s="40" t="s">
        <v>50</v>
      </c>
      <c r="B36" s="40" t="s">
        <v>109</v>
      </c>
      <c r="C36" s="40" t="s">
        <v>114</v>
      </c>
      <c r="D36" s="40">
        <v>2026</v>
      </c>
      <c r="E36" s="40">
        <v>102605.018432617</v>
      </c>
      <c r="F36" s="40">
        <v>63323.430053710901</v>
      </c>
      <c r="H36" s="40">
        <v>59809.159545898401</v>
      </c>
      <c r="I36" s="40">
        <v>35717.970336914099</v>
      </c>
      <c r="J36" s="40">
        <v>10523.460281372099</v>
      </c>
      <c r="K36" s="40">
        <v>6526.0401611328098</v>
      </c>
      <c r="L36" s="40">
        <v>52186.759689331098</v>
      </c>
      <c r="M36" s="40">
        <v>32931.009449005098</v>
      </c>
      <c r="N36" s="40">
        <v>9895.9000129699707</v>
      </c>
      <c r="O36" s="40">
        <v>220262.628611803</v>
      </c>
      <c r="Q36" s="40">
        <v>6600.75</v>
      </c>
      <c r="R36" s="40">
        <v>74504.4593334198</v>
      </c>
      <c r="S36" s="40">
        <v>2016.79004859924</v>
      </c>
      <c r="T36" s="40">
        <v>6300.5799713134802</v>
      </c>
      <c r="U36" s="40">
        <v>13235.690002441401</v>
      </c>
      <c r="V36" s="40">
        <v>47599.298828125</v>
      </c>
      <c r="W36" s="40">
        <v>16738.779996871901</v>
      </c>
    </row>
    <row r="37" spans="1:23">
      <c r="A37" s="40" t="s">
        <v>50</v>
      </c>
      <c r="B37" s="40" t="s">
        <v>109</v>
      </c>
      <c r="C37" s="40" t="s">
        <v>114</v>
      </c>
      <c r="D37" s="40" t="s">
        <v>15</v>
      </c>
      <c r="E37" s="203">
        <v>-0.03</v>
      </c>
      <c r="F37" s="203">
        <v>-0.09</v>
      </c>
      <c r="G37" s="40" t="s">
        <v>161</v>
      </c>
      <c r="H37" s="203">
        <v>0.18</v>
      </c>
      <c r="I37" s="203">
        <v>-0.08</v>
      </c>
      <c r="J37" s="203">
        <v>1.88</v>
      </c>
      <c r="K37" s="203">
        <v>4.03</v>
      </c>
      <c r="L37" s="203">
        <v>-0.2</v>
      </c>
      <c r="M37" s="203">
        <v>0.11</v>
      </c>
      <c r="N37" s="203">
        <v>0.39</v>
      </c>
      <c r="O37" s="203">
        <v>0.52</v>
      </c>
      <c r="P37" s="40" t="s">
        <v>161</v>
      </c>
      <c r="Q37" s="203">
        <v>-0.2</v>
      </c>
      <c r="R37" s="203">
        <v>0</v>
      </c>
      <c r="S37" s="203">
        <v>-0.39</v>
      </c>
      <c r="T37" s="203">
        <v>0.04</v>
      </c>
      <c r="U37" s="203">
        <v>-0.05</v>
      </c>
      <c r="V37" s="203">
        <v>-0.49</v>
      </c>
      <c r="W37" s="203">
        <v>2.12</v>
      </c>
    </row>
    <row r="38" spans="1:23">
      <c r="A38" s="40" t="s">
        <v>50</v>
      </c>
      <c r="B38" s="40" t="s">
        <v>110</v>
      </c>
      <c r="C38" s="40" t="s">
        <v>158</v>
      </c>
      <c r="D38" s="40">
        <v>2025</v>
      </c>
      <c r="E38" s="40">
        <v>9542.580078125</v>
      </c>
      <c r="F38" s="40">
        <v>9449.8501586914099</v>
      </c>
      <c r="H38" s="40">
        <v>5219.31005859375</v>
      </c>
      <c r="I38" s="40">
        <v>4260.8500671386701</v>
      </c>
      <c r="J38" s="40">
        <v>136.67999267578099</v>
      </c>
      <c r="K38" s="40">
        <v>478.36999511718801</v>
      </c>
      <c r="L38" s="40">
        <v>5822.5600261688196</v>
      </c>
      <c r="M38" s="40">
        <v>1766.6600112915</v>
      </c>
      <c r="N38" s="40">
        <v>535.83998870849598</v>
      </c>
      <c r="O38" s="40">
        <v>6916.8200969695999</v>
      </c>
      <c r="Q38" s="40">
        <v>1228.5</v>
      </c>
      <c r="R38" s="40">
        <v>15094.859901428201</v>
      </c>
      <c r="S38" s="40">
        <v>22.920000076293899</v>
      </c>
      <c r="U38" s="40">
        <v>110</v>
      </c>
      <c r="V38" s="40">
        <v>4662.669921875</v>
      </c>
      <c r="W38" s="40">
        <v>1367.77000427246</v>
      </c>
    </row>
    <row r="39" spans="1:23">
      <c r="A39" s="40" t="s">
        <v>50</v>
      </c>
      <c r="B39" s="40" t="s">
        <v>110</v>
      </c>
      <c r="C39" s="40" t="s">
        <v>158</v>
      </c>
      <c r="D39" s="40">
        <v>2026</v>
      </c>
    </row>
    <row r="40" spans="1:23">
      <c r="A40" s="40" t="s">
        <v>50</v>
      </c>
      <c r="B40" s="40" t="s">
        <v>110</v>
      </c>
      <c r="C40" s="40" t="s">
        <v>158</v>
      </c>
      <c r="D40" s="40" t="s">
        <v>15</v>
      </c>
      <c r="E40" s="203">
        <v>-1</v>
      </c>
      <c r="F40" s="203">
        <v>-1</v>
      </c>
      <c r="G40" s="40" t="s">
        <v>161</v>
      </c>
      <c r="H40" s="203">
        <v>-1</v>
      </c>
      <c r="I40" s="203">
        <v>-1</v>
      </c>
      <c r="J40" s="203">
        <v>-1</v>
      </c>
      <c r="K40" s="203">
        <v>-1</v>
      </c>
      <c r="L40" s="203">
        <v>-1</v>
      </c>
      <c r="M40" s="203">
        <v>-1</v>
      </c>
      <c r="N40" s="203">
        <v>-1</v>
      </c>
      <c r="O40" s="203">
        <v>-1</v>
      </c>
      <c r="P40" s="40" t="s">
        <v>161</v>
      </c>
      <c r="Q40" s="203">
        <v>-1</v>
      </c>
      <c r="R40" s="203">
        <v>-1</v>
      </c>
      <c r="S40" s="203">
        <v>-1</v>
      </c>
      <c r="T40" s="203" t="s">
        <v>161</v>
      </c>
      <c r="U40" s="203">
        <v>-1</v>
      </c>
      <c r="V40" s="203">
        <v>-1</v>
      </c>
      <c r="W40" s="203">
        <v>-1</v>
      </c>
    </row>
    <row r="41" spans="1:23">
      <c r="A41" s="40" t="s">
        <v>50</v>
      </c>
      <c r="B41" s="40" t="s">
        <v>136</v>
      </c>
      <c r="C41" s="40" t="s">
        <v>131</v>
      </c>
      <c r="D41" s="40">
        <v>2025</v>
      </c>
      <c r="E41" s="40">
        <v>84192.509765625</v>
      </c>
      <c r="F41" s="40">
        <v>40930.6103515625</v>
      </c>
      <c r="H41" s="40">
        <v>46599.259765625</v>
      </c>
      <c r="I41" s="40">
        <v>27184.899780273401</v>
      </c>
      <c r="J41" s="40">
        <v>512.530029296875</v>
      </c>
      <c r="K41" s="40">
        <v>1674.28002929688</v>
      </c>
      <c r="L41" s="40">
        <v>60962.009490966797</v>
      </c>
      <c r="M41" s="40">
        <v>15101.929776191701</v>
      </c>
      <c r="N41" s="40">
        <v>128345.979370117</v>
      </c>
      <c r="O41" s="40">
        <v>177306.62903022801</v>
      </c>
      <c r="Q41" s="40">
        <v>7852</v>
      </c>
      <c r="R41" s="40">
        <v>69460.400447845503</v>
      </c>
      <c r="S41" s="40">
        <v>870.919984817505</v>
      </c>
      <c r="T41" s="40">
        <v>3495.5099563598601</v>
      </c>
      <c r="V41" s="40">
        <v>23692.260253906301</v>
      </c>
      <c r="W41" s="40">
        <v>5462.8699464798001</v>
      </c>
    </row>
    <row r="42" spans="1:23">
      <c r="A42" s="40" t="s">
        <v>50</v>
      </c>
      <c r="B42" s="40" t="s">
        <v>136</v>
      </c>
      <c r="C42" s="40" t="s">
        <v>131</v>
      </c>
      <c r="D42" s="40">
        <v>2026</v>
      </c>
      <c r="E42" s="40">
        <v>77816.838439941406</v>
      </c>
      <c r="F42" s="40">
        <v>42124.220092773401</v>
      </c>
      <c r="H42" s="40">
        <v>50169.229858398401</v>
      </c>
      <c r="I42" s="40">
        <v>26812.2800292969</v>
      </c>
      <c r="J42" s="40">
        <v>9225.1799468994104</v>
      </c>
      <c r="K42" s="40">
        <v>4100.2200317382803</v>
      </c>
      <c r="L42" s="40">
        <v>60636.8493900299</v>
      </c>
      <c r="M42" s="40">
        <v>23235.700214386001</v>
      </c>
      <c r="N42" s="40">
        <v>133775.40781974801</v>
      </c>
      <c r="O42" s="40">
        <v>151093.27020263701</v>
      </c>
      <c r="Q42" s="40">
        <v>7605</v>
      </c>
      <c r="R42" s="40">
        <v>61978.349763870203</v>
      </c>
      <c r="T42" s="40">
        <v>1054.8000183105501</v>
      </c>
      <c r="V42" s="40">
        <v>49097.819854736299</v>
      </c>
      <c r="W42" s="40">
        <v>17681.549987793001</v>
      </c>
    </row>
    <row r="43" spans="1:23">
      <c r="A43" s="40" t="s">
        <v>50</v>
      </c>
      <c r="B43" s="40" t="s">
        <v>136</v>
      </c>
      <c r="C43" s="40" t="s">
        <v>131</v>
      </c>
      <c r="D43" s="40" t="s">
        <v>15</v>
      </c>
      <c r="E43" s="203">
        <v>-0.08</v>
      </c>
      <c r="F43" s="203">
        <v>0.03</v>
      </c>
      <c r="G43" s="40" t="s">
        <v>161</v>
      </c>
      <c r="H43" s="203">
        <v>0.08</v>
      </c>
      <c r="I43" s="203">
        <v>-0.01</v>
      </c>
      <c r="J43" s="203" t="s">
        <v>202</v>
      </c>
      <c r="K43" s="203">
        <v>1.45</v>
      </c>
      <c r="L43" s="203">
        <v>-0.01</v>
      </c>
      <c r="M43" s="203">
        <v>0.54</v>
      </c>
      <c r="N43" s="203">
        <v>0.04</v>
      </c>
      <c r="O43" s="203">
        <v>-0.15</v>
      </c>
      <c r="P43" s="40" t="s">
        <v>161</v>
      </c>
      <c r="Q43" s="203">
        <v>-0.03</v>
      </c>
      <c r="R43" s="203">
        <v>-0.11</v>
      </c>
      <c r="S43" s="203">
        <v>-1</v>
      </c>
      <c r="T43" s="203">
        <v>-0.7</v>
      </c>
      <c r="U43" s="203" t="s">
        <v>161</v>
      </c>
      <c r="V43" s="203">
        <v>1.07</v>
      </c>
      <c r="W43" s="203">
        <v>2.2400000000000002</v>
      </c>
    </row>
    <row r="44" spans="1:23">
      <c r="A44" s="40" t="s">
        <v>50</v>
      </c>
      <c r="B44" s="40" t="s">
        <v>164</v>
      </c>
      <c r="C44" s="40" t="s">
        <v>137</v>
      </c>
      <c r="D44" s="40">
        <v>2025</v>
      </c>
      <c r="E44" s="40">
        <v>132645.36035156299</v>
      </c>
      <c r="F44" s="40">
        <v>66340.140136718794</v>
      </c>
      <c r="H44" s="40">
        <v>71119.8310546875</v>
      </c>
      <c r="I44" s="40">
        <v>43984.699768066399</v>
      </c>
      <c r="J44" s="40">
        <v>-69.160003662109403</v>
      </c>
      <c r="K44" s="40">
        <v>-170.83999633789099</v>
      </c>
      <c r="L44" s="40">
        <v>82056.830614089995</v>
      </c>
      <c r="M44" s="40">
        <v>15353.0898335651</v>
      </c>
      <c r="N44" s="40">
        <v>23588.479896545399</v>
      </c>
      <c r="O44" s="40">
        <v>301116.56222915603</v>
      </c>
      <c r="Q44" s="40">
        <v>7722</v>
      </c>
      <c r="R44" s="40">
        <v>96597.520284652695</v>
      </c>
      <c r="S44" s="40">
        <v>1420.8999862670901</v>
      </c>
      <c r="T44" s="40">
        <v>27221.579223632802</v>
      </c>
      <c r="U44" s="40">
        <v>2398</v>
      </c>
      <c r="V44" s="40">
        <v>64054.369506835901</v>
      </c>
      <c r="W44" s="40">
        <v>21100.7504386902</v>
      </c>
    </row>
    <row r="45" spans="1:23">
      <c r="A45" s="40" t="s">
        <v>50</v>
      </c>
      <c r="B45" s="40" t="s">
        <v>164</v>
      </c>
      <c r="C45" s="40" t="s">
        <v>137</v>
      </c>
      <c r="D45" s="40">
        <v>2026</v>
      </c>
      <c r="E45" s="40">
        <v>129754.018066406</v>
      </c>
      <c r="F45" s="40">
        <v>72181.639404296904</v>
      </c>
      <c r="H45" s="40">
        <v>65424.799316406301</v>
      </c>
      <c r="I45" s="40">
        <v>45133.289672851599</v>
      </c>
      <c r="K45" s="40">
        <v>478.34001159667997</v>
      </c>
      <c r="L45" s="40">
        <v>87068.499872207598</v>
      </c>
      <c r="M45" s="40">
        <v>14726.350098609901</v>
      </c>
      <c r="N45" s="40">
        <v>60397.469512939497</v>
      </c>
      <c r="O45" s="40">
        <v>241216.13143158</v>
      </c>
      <c r="Q45" s="40">
        <v>5196.75</v>
      </c>
      <c r="R45" s="40">
        <v>100348.28051948499</v>
      </c>
      <c r="S45" s="40">
        <v>1145.85998535156</v>
      </c>
      <c r="T45" s="40">
        <v>16219.9103088379</v>
      </c>
      <c r="U45" s="40">
        <v>1650</v>
      </c>
      <c r="V45" s="40">
        <v>45684.149902343801</v>
      </c>
      <c r="W45" s="40">
        <v>16375.589855194101</v>
      </c>
    </row>
    <row r="46" spans="1:23">
      <c r="A46" s="40" t="s">
        <v>50</v>
      </c>
      <c r="B46" s="40" t="s">
        <v>164</v>
      </c>
      <c r="C46" s="40" t="s">
        <v>137</v>
      </c>
      <c r="D46" s="40" t="s">
        <v>15</v>
      </c>
      <c r="E46" s="203">
        <v>-0.02</v>
      </c>
      <c r="F46" s="203">
        <v>0.09</v>
      </c>
      <c r="G46" s="40" t="s">
        <v>161</v>
      </c>
      <c r="H46" s="203">
        <v>-0.08</v>
      </c>
      <c r="I46" s="203">
        <v>0.03</v>
      </c>
      <c r="J46" s="203">
        <v>-1</v>
      </c>
      <c r="K46" s="203">
        <v>-3.8</v>
      </c>
      <c r="L46" s="203">
        <v>0.06</v>
      </c>
      <c r="M46" s="203">
        <v>-0.04</v>
      </c>
      <c r="N46" s="203">
        <v>1.56</v>
      </c>
      <c r="O46" s="203">
        <v>-0.2</v>
      </c>
      <c r="P46" s="40" t="s">
        <v>161</v>
      </c>
      <c r="Q46" s="203">
        <v>-0.33</v>
      </c>
      <c r="R46" s="203">
        <v>0.04</v>
      </c>
      <c r="S46" s="203">
        <v>-0.19</v>
      </c>
      <c r="T46" s="203">
        <v>-0.4</v>
      </c>
      <c r="U46" s="203">
        <v>-0.31</v>
      </c>
      <c r="V46" s="203">
        <v>-0.28999999999999998</v>
      </c>
      <c r="W46" s="203">
        <v>-0.22</v>
      </c>
    </row>
    <row r="47" spans="1:23">
      <c r="A47" s="40" t="s">
        <v>50</v>
      </c>
      <c r="B47" s="40" t="s">
        <v>132</v>
      </c>
      <c r="C47" s="40" t="s">
        <v>144</v>
      </c>
      <c r="D47" s="40">
        <v>2025</v>
      </c>
      <c r="E47" s="40">
        <v>92798.779785156294</v>
      </c>
      <c r="F47" s="40">
        <v>40153.589355468801</v>
      </c>
      <c r="H47" s="40">
        <v>55362.5302734375</v>
      </c>
      <c r="I47" s="40">
        <v>32494.510192871101</v>
      </c>
      <c r="J47" s="40">
        <v>242.080001831055</v>
      </c>
      <c r="K47" s="40">
        <v>785.84997558593795</v>
      </c>
      <c r="L47" s="40">
        <v>45687.880294799797</v>
      </c>
      <c r="M47" s="40">
        <v>19089.050035476699</v>
      </c>
      <c r="N47" s="40">
        <v>17652.340053558401</v>
      </c>
      <c r="O47" s="40">
        <v>129540.27166748</v>
      </c>
      <c r="Q47" s="40">
        <v>4868.5</v>
      </c>
      <c r="R47" s="40">
        <v>76230.310140609698</v>
      </c>
      <c r="S47" s="40">
        <v>641.720008850098</v>
      </c>
      <c r="T47" s="40">
        <v>21399.479858398401</v>
      </c>
      <c r="U47" s="40">
        <v>275</v>
      </c>
      <c r="V47" s="40">
        <v>68428.089416503906</v>
      </c>
      <c r="W47" s="40">
        <v>30723.949958801299</v>
      </c>
    </row>
    <row r="48" spans="1:23">
      <c r="A48" s="40" t="s">
        <v>50</v>
      </c>
      <c r="B48" s="40" t="s">
        <v>132</v>
      </c>
      <c r="C48" s="40" t="s">
        <v>144</v>
      </c>
      <c r="D48" s="40">
        <v>2026</v>
      </c>
      <c r="E48" s="40">
        <v>93974.318115234404</v>
      </c>
      <c r="F48" s="40">
        <v>31398.309936523401</v>
      </c>
      <c r="H48" s="40">
        <v>56001.280029296897</v>
      </c>
      <c r="I48" s="40">
        <v>27505.480010986299</v>
      </c>
      <c r="J48" s="40">
        <v>1776.74998474121</v>
      </c>
      <c r="K48" s="40">
        <v>888.41002655029297</v>
      </c>
      <c r="L48" s="40">
        <v>48531.769847869902</v>
      </c>
      <c r="M48" s="40">
        <v>17070.450100898699</v>
      </c>
      <c r="N48" s="40">
        <v>124190.899235725</v>
      </c>
      <c r="O48" s="40">
        <v>239100.829637527</v>
      </c>
      <c r="Q48" s="40">
        <v>4761.25</v>
      </c>
      <c r="R48" s="40">
        <v>61165.449964523301</v>
      </c>
      <c r="S48" s="40">
        <v>939.65998840331997</v>
      </c>
      <c r="T48" s="40">
        <v>15408.5499801636</v>
      </c>
      <c r="U48" s="40">
        <v>985.66999816894497</v>
      </c>
      <c r="V48" s="40">
        <v>37198.849746704102</v>
      </c>
      <c r="W48" s="40">
        <v>36276.949996948199</v>
      </c>
    </row>
    <row r="49" spans="1:23">
      <c r="A49" s="40" t="s">
        <v>50</v>
      </c>
      <c r="B49" s="40" t="s">
        <v>132</v>
      </c>
      <c r="C49" s="40" t="s">
        <v>144</v>
      </c>
      <c r="D49" s="40" t="s">
        <v>15</v>
      </c>
      <c r="E49" s="203">
        <v>0.01</v>
      </c>
      <c r="F49" s="203">
        <v>-0.22</v>
      </c>
      <c r="G49" s="40" t="s">
        <v>161</v>
      </c>
      <c r="H49" s="203">
        <v>0.01</v>
      </c>
      <c r="I49" s="203">
        <v>-0.15</v>
      </c>
      <c r="J49" s="203">
        <v>6.34</v>
      </c>
      <c r="K49" s="203">
        <v>0.13</v>
      </c>
      <c r="L49" s="203">
        <v>0.06</v>
      </c>
      <c r="M49" s="203">
        <v>-0.11</v>
      </c>
      <c r="N49" s="203">
        <v>6.04</v>
      </c>
      <c r="O49" s="203">
        <v>0.85</v>
      </c>
      <c r="P49" s="40" t="s">
        <v>161</v>
      </c>
      <c r="Q49" s="203">
        <v>-0.02</v>
      </c>
      <c r="R49" s="203">
        <v>-0.2</v>
      </c>
      <c r="S49" s="203">
        <v>0.46</v>
      </c>
      <c r="T49" s="203">
        <v>-0.28000000000000003</v>
      </c>
      <c r="U49" s="203">
        <v>2.58</v>
      </c>
      <c r="V49" s="203">
        <v>-0.46</v>
      </c>
      <c r="W49" s="203">
        <v>0.18</v>
      </c>
    </row>
    <row r="50" spans="1:23">
      <c r="A50" s="40" t="s">
        <v>50</v>
      </c>
      <c r="B50" s="40" t="s">
        <v>133</v>
      </c>
      <c r="C50" s="40" t="s">
        <v>165</v>
      </c>
      <c r="D50" s="40">
        <v>2025</v>
      </c>
      <c r="E50" s="40">
        <v>54079.509765625</v>
      </c>
      <c r="F50" s="40">
        <v>13853.669921875</v>
      </c>
      <c r="H50" s="40">
        <v>27759.25</v>
      </c>
      <c r="I50" s="40">
        <v>13223.649902343799</v>
      </c>
      <c r="J50" s="40">
        <v>444.17999267578102</v>
      </c>
      <c r="K50" s="40">
        <v>273.33999633789102</v>
      </c>
      <c r="L50" s="40">
        <v>20284.2099761963</v>
      </c>
      <c r="M50" s="40">
        <v>8203.0900087356604</v>
      </c>
      <c r="N50" s="40">
        <v>4884.0099487304697</v>
      </c>
      <c r="O50" s="40">
        <v>114744.42007446301</v>
      </c>
      <c r="Q50" s="40">
        <v>4390.75</v>
      </c>
      <c r="R50" s="40">
        <v>43378.680149307504</v>
      </c>
      <c r="S50" s="40">
        <v>2245.8700256347702</v>
      </c>
      <c r="T50" s="40">
        <v>8998.1098480224591</v>
      </c>
      <c r="U50" s="40">
        <v>803.16000366210903</v>
      </c>
      <c r="V50" s="40">
        <v>26840.439453125</v>
      </c>
      <c r="W50" s="40">
        <v>16008.229873657199</v>
      </c>
    </row>
    <row r="51" spans="1:23">
      <c r="A51" s="40" t="s">
        <v>50</v>
      </c>
      <c r="B51" s="40" t="s">
        <v>133</v>
      </c>
      <c r="C51" s="40" t="s">
        <v>165</v>
      </c>
      <c r="D51" s="40">
        <v>2026</v>
      </c>
      <c r="E51" s="40">
        <v>44084.029785156301</v>
      </c>
      <c r="F51" s="40">
        <v>14273.920288085899</v>
      </c>
      <c r="H51" s="40">
        <v>25632.9699707031</v>
      </c>
      <c r="I51" s="40">
        <v>9871.6900634765607</v>
      </c>
      <c r="J51" s="40">
        <v>1025.0299987793001</v>
      </c>
      <c r="K51" s="40">
        <v>2733.3500366210901</v>
      </c>
      <c r="L51" s="40">
        <v>18795.2501049042</v>
      </c>
      <c r="M51" s="40">
        <v>8247.7500019073505</v>
      </c>
      <c r="N51" s="40">
        <v>8902.0897350311297</v>
      </c>
      <c r="O51" s="40">
        <v>124103.931028366</v>
      </c>
      <c r="Q51" s="40">
        <v>2479.75</v>
      </c>
      <c r="R51" s="40">
        <v>32730.490396499601</v>
      </c>
      <c r="S51" s="40">
        <v>2727.0699768066402</v>
      </c>
      <c r="T51" s="40">
        <v>12483.2596588135</v>
      </c>
      <c r="U51" s="40">
        <v>2662.3400115966801</v>
      </c>
      <c r="V51" s="40">
        <v>15411.5997314453</v>
      </c>
      <c r="W51" s="40">
        <v>25396.659885406501</v>
      </c>
    </row>
    <row r="52" spans="1:23">
      <c r="A52" s="40" t="s">
        <v>50</v>
      </c>
      <c r="B52" s="40" t="s">
        <v>133</v>
      </c>
      <c r="C52" s="40" t="s">
        <v>165</v>
      </c>
      <c r="D52" s="40" t="s">
        <v>15</v>
      </c>
      <c r="E52" s="203">
        <v>-0.18</v>
      </c>
      <c r="F52" s="203">
        <v>0.03</v>
      </c>
      <c r="G52" s="40" t="s">
        <v>161</v>
      </c>
      <c r="H52" s="203">
        <v>-0.08</v>
      </c>
      <c r="I52" s="203">
        <v>-0.25</v>
      </c>
      <c r="J52" s="203">
        <v>1.31</v>
      </c>
      <c r="K52" s="203">
        <v>9</v>
      </c>
      <c r="L52" s="203">
        <v>-7.0000000000000007E-2</v>
      </c>
      <c r="M52" s="203">
        <v>0.01</v>
      </c>
      <c r="N52" s="203">
        <v>0.82</v>
      </c>
      <c r="O52" s="203">
        <v>0.08</v>
      </c>
      <c r="P52" s="40" t="s">
        <v>161</v>
      </c>
      <c r="Q52" s="203">
        <v>-0.44</v>
      </c>
      <c r="R52" s="203">
        <v>-0.25</v>
      </c>
      <c r="S52" s="203">
        <v>0.21</v>
      </c>
      <c r="T52" s="203">
        <v>0.39</v>
      </c>
      <c r="U52" s="203">
        <v>2.31</v>
      </c>
      <c r="V52" s="203">
        <v>-0.43</v>
      </c>
      <c r="W52" s="203">
        <v>0.59</v>
      </c>
    </row>
    <row r="53" spans="1:23">
      <c r="A53" s="40" t="s">
        <v>50</v>
      </c>
      <c r="B53" s="40" t="s">
        <v>147</v>
      </c>
      <c r="C53" s="40" t="s">
        <v>152</v>
      </c>
      <c r="D53" s="40">
        <v>2025</v>
      </c>
      <c r="E53" s="40">
        <v>135951.099609375</v>
      </c>
      <c r="F53" s="40">
        <v>88841.970703125</v>
      </c>
      <c r="H53" s="40">
        <v>68522.16796875</v>
      </c>
      <c r="I53" s="40">
        <v>44272.620239257798</v>
      </c>
      <c r="J53" s="40">
        <v>1897.8300018310499</v>
      </c>
      <c r="K53" s="40">
        <v>649.18000793456997</v>
      </c>
      <c r="L53" s="40">
        <v>65890.269863128706</v>
      </c>
      <c r="M53" s="40">
        <v>28020.6300430298</v>
      </c>
      <c r="N53" s="40">
        <v>15409.550009250601</v>
      </c>
      <c r="O53" s="40">
        <v>216384.68014907799</v>
      </c>
      <c r="Q53" s="40">
        <v>9597.25</v>
      </c>
      <c r="R53" s="40">
        <v>99482.4397029877</v>
      </c>
      <c r="S53" s="40">
        <v>1879.3300018310499</v>
      </c>
      <c r="T53" s="40">
        <v>6216.4699859619104</v>
      </c>
      <c r="U53" s="40">
        <v>10520.5</v>
      </c>
      <c r="V53" s="40">
        <v>117781.80103302</v>
      </c>
      <c r="W53" s="40">
        <v>28008.639900207501</v>
      </c>
    </row>
    <row r="54" spans="1:23">
      <c r="A54" s="40" t="s">
        <v>50</v>
      </c>
      <c r="B54" s="40" t="s">
        <v>147</v>
      </c>
      <c r="C54" s="40" t="s">
        <v>152</v>
      </c>
      <c r="D54" s="40">
        <v>2026</v>
      </c>
      <c r="E54" s="40">
        <v>97258.0596313477</v>
      </c>
      <c r="F54" s="40">
        <v>67118.318725585894</v>
      </c>
      <c r="H54" s="40">
        <v>44179.7011108398</v>
      </c>
      <c r="I54" s="40">
        <v>37178.959762573199</v>
      </c>
      <c r="J54" s="40">
        <v>6115.2599105834997</v>
      </c>
      <c r="K54" s="40">
        <v>5535.1400909423801</v>
      </c>
      <c r="L54" s="40">
        <v>79865.329187393203</v>
      </c>
      <c r="M54" s="40">
        <v>23408.050050735499</v>
      </c>
      <c r="N54" s="40">
        <v>34621.5197486877</v>
      </c>
      <c r="O54" s="40">
        <v>173999.07894134501</v>
      </c>
      <c r="Q54" s="40">
        <v>4800.25</v>
      </c>
      <c r="R54" s="40">
        <v>72922.450032958805</v>
      </c>
      <c r="S54" s="40">
        <v>1970.9199829101599</v>
      </c>
      <c r="T54" s="40">
        <v>4369.8199634552002</v>
      </c>
      <c r="U54" s="40">
        <v>8654.8300018310492</v>
      </c>
      <c r="V54" s="40">
        <v>59678.629959106402</v>
      </c>
      <c r="W54" s="40">
        <v>24695.200033187899</v>
      </c>
    </row>
    <row r="55" spans="1:23">
      <c r="A55" s="40" t="s">
        <v>50</v>
      </c>
      <c r="B55" s="40" t="s">
        <v>147</v>
      </c>
      <c r="C55" s="40" t="s">
        <v>152</v>
      </c>
      <c r="D55" s="40" t="s">
        <v>15</v>
      </c>
      <c r="E55" s="203">
        <v>-0.28000000000000003</v>
      </c>
      <c r="F55" s="203">
        <v>-0.24</v>
      </c>
      <c r="G55" s="40" t="s">
        <v>161</v>
      </c>
      <c r="H55" s="203">
        <v>-0.36</v>
      </c>
      <c r="I55" s="203">
        <v>-0.16</v>
      </c>
      <c r="J55" s="203">
        <v>2.2200000000000002</v>
      </c>
      <c r="K55" s="203">
        <v>7.53</v>
      </c>
      <c r="L55" s="203">
        <v>0.21</v>
      </c>
      <c r="M55" s="203">
        <v>-0.16</v>
      </c>
      <c r="N55" s="203">
        <v>1.25</v>
      </c>
      <c r="O55" s="203">
        <v>-0.2</v>
      </c>
      <c r="P55" s="40" t="s">
        <v>161</v>
      </c>
      <c r="Q55" s="203">
        <v>-0.5</v>
      </c>
      <c r="R55" s="203">
        <v>-0.27</v>
      </c>
      <c r="S55" s="203">
        <v>0.05</v>
      </c>
      <c r="T55" s="203">
        <v>-0.3</v>
      </c>
      <c r="U55" s="203">
        <v>-0.18</v>
      </c>
      <c r="V55" s="203">
        <v>-0.49</v>
      </c>
      <c r="W55" s="203">
        <v>-0.12</v>
      </c>
    </row>
    <row r="56" spans="1:23">
      <c r="A56" s="40" t="s">
        <v>50</v>
      </c>
      <c r="B56" s="40" t="s">
        <v>148</v>
      </c>
      <c r="C56" s="40" t="s">
        <v>159</v>
      </c>
      <c r="D56" s="40">
        <v>2025</v>
      </c>
      <c r="E56" s="40">
        <v>1140.1000041961699</v>
      </c>
      <c r="F56" s="40">
        <v>3261.3399963378902</v>
      </c>
      <c r="H56" s="40">
        <v>519.44000244140602</v>
      </c>
      <c r="I56" s="40">
        <v>1482.7100219726599</v>
      </c>
      <c r="J56" s="40">
        <v>34.169998168945298</v>
      </c>
      <c r="L56" s="40">
        <v>785.34998893737804</v>
      </c>
      <c r="M56" s="40">
        <v>706.15998840331997</v>
      </c>
      <c r="N56" s="40">
        <v>340.00999450683599</v>
      </c>
      <c r="O56" s="40">
        <v>936.68999481201195</v>
      </c>
      <c r="Q56" s="40">
        <v>279.5</v>
      </c>
      <c r="R56" s="40">
        <v>2651.9099979400598</v>
      </c>
      <c r="S56" s="40">
        <v>45.840000152587898</v>
      </c>
      <c r="U56" s="40">
        <v>44</v>
      </c>
      <c r="V56" s="40">
        <v>2105</v>
      </c>
      <c r="W56" s="40">
        <v>126.75</v>
      </c>
    </row>
    <row r="57" spans="1:23">
      <c r="A57" s="40" t="s">
        <v>50</v>
      </c>
      <c r="B57" s="40" t="s">
        <v>148</v>
      </c>
      <c r="C57" s="40" t="s">
        <v>190</v>
      </c>
      <c r="D57" s="40">
        <v>2026</v>
      </c>
      <c r="E57" s="40">
        <v>416.82998657226602</v>
      </c>
      <c r="H57" s="40">
        <v>416.82998657226602</v>
      </c>
      <c r="M57" s="40">
        <v>210</v>
      </c>
    </row>
    <row r="58" spans="1:23">
      <c r="A58" s="40" t="s">
        <v>50</v>
      </c>
      <c r="B58" s="40" t="s">
        <v>148</v>
      </c>
      <c r="C58" s="40" t="s">
        <v>190</v>
      </c>
      <c r="D58" s="40" t="s">
        <v>15</v>
      </c>
      <c r="E58" s="203">
        <v>-0.63</v>
      </c>
      <c r="F58" s="203">
        <v>-1</v>
      </c>
      <c r="G58" s="40" t="s">
        <v>161</v>
      </c>
      <c r="H58" s="203">
        <v>-0.2</v>
      </c>
      <c r="I58" s="203">
        <v>-1</v>
      </c>
      <c r="J58" s="203">
        <v>-1</v>
      </c>
      <c r="K58" s="203" t="s">
        <v>161</v>
      </c>
      <c r="L58" s="203">
        <v>-1</v>
      </c>
      <c r="M58" s="203">
        <v>-0.7</v>
      </c>
      <c r="N58" s="203">
        <v>-1</v>
      </c>
      <c r="O58" s="203">
        <v>-1</v>
      </c>
      <c r="P58" s="40" t="s">
        <v>161</v>
      </c>
      <c r="Q58" s="203">
        <v>-1</v>
      </c>
      <c r="R58" s="203">
        <v>-1</v>
      </c>
      <c r="S58" s="203">
        <v>-1</v>
      </c>
      <c r="T58" s="203" t="s">
        <v>161</v>
      </c>
      <c r="U58" s="203">
        <v>-1</v>
      </c>
      <c r="V58" s="203">
        <v>-1</v>
      </c>
      <c r="W58" s="203">
        <v>-1</v>
      </c>
    </row>
    <row r="59" spans="1:23">
      <c r="A59" s="40" t="s">
        <v>50</v>
      </c>
      <c r="B59" s="40" t="s">
        <v>141</v>
      </c>
      <c r="C59" s="40" t="s">
        <v>174</v>
      </c>
      <c r="D59" s="40">
        <v>2025</v>
      </c>
      <c r="E59" s="40">
        <v>130006.641113281</v>
      </c>
      <c r="F59" s="40">
        <v>69938.360107421904</v>
      </c>
      <c r="H59" s="40">
        <v>61632.809814453103</v>
      </c>
      <c r="I59" s="40">
        <v>41369.480331420898</v>
      </c>
      <c r="J59" s="40">
        <v>3751.2100372314499</v>
      </c>
      <c r="K59" s="40">
        <v>3040.9500274658199</v>
      </c>
      <c r="L59" s="40">
        <v>77210.229698181196</v>
      </c>
      <c r="M59" s="40">
        <v>45194.9997215271</v>
      </c>
      <c r="N59" s="40">
        <v>30754.669870376601</v>
      </c>
      <c r="O59" s="40">
        <v>312437.98780250503</v>
      </c>
      <c r="Q59" s="40">
        <v>7020</v>
      </c>
      <c r="R59" s="40">
        <v>94884.290069580107</v>
      </c>
      <c r="S59" s="40">
        <v>2704.3899574279799</v>
      </c>
      <c r="T59" s="40">
        <v>4628.7199077606201</v>
      </c>
      <c r="U59" s="40">
        <v>8844.5099945068396</v>
      </c>
      <c r="V59" s="40">
        <v>89909.509399414106</v>
      </c>
      <c r="W59" s="40">
        <v>46114.140151977503</v>
      </c>
    </row>
    <row r="60" spans="1:23">
      <c r="A60" s="40" t="s">
        <v>50</v>
      </c>
      <c r="B60" s="40" t="s">
        <v>141</v>
      </c>
      <c r="C60" s="40" t="s">
        <v>145</v>
      </c>
      <c r="D60" s="40">
        <v>2026</v>
      </c>
      <c r="E60" s="40">
        <v>111449.840797424</v>
      </c>
      <c r="F60" s="40">
        <v>58710.189996719397</v>
      </c>
      <c r="H60" s="40">
        <v>57270.650024414099</v>
      </c>
      <c r="I60" s="40">
        <v>34448.239831924402</v>
      </c>
      <c r="J60" s="40">
        <v>5090.9900512695303</v>
      </c>
      <c r="K60" s="40">
        <v>14213.619720459001</v>
      </c>
      <c r="L60" s="40">
        <v>83250.031082153306</v>
      </c>
      <c r="M60" s="40">
        <v>39807.190114021301</v>
      </c>
      <c r="N60" s="40">
        <v>19877.679933547999</v>
      </c>
      <c r="O60" s="40">
        <v>129460.97936487199</v>
      </c>
      <c r="Q60" s="40">
        <v>4897.75</v>
      </c>
      <c r="R60" s="40">
        <v>94309.4703636169</v>
      </c>
      <c r="S60" s="40">
        <v>2108.51003265381</v>
      </c>
      <c r="T60" s="40">
        <v>5911.1998844146701</v>
      </c>
      <c r="U60" s="40">
        <v>9581.6400146484393</v>
      </c>
      <c r="V60" s="40">
        <v>60322.630981445298</v>
      </c>
      <c r="W60" s="40">
        <v>34744.4700474739</v>
      </c>
    </row>
    <row r="61" spans="1:23">
      <c r="A61" s="40" t="s">
        <v>50</v>
      </c>
      <c r="B61" s="40" t="s">
        <v>141</v>
      </c>
      <c r="C61" s="40" t="s">
        <v>145</v>
      </c>
      <c r="D61" s="40" t="s">
        <v>15</v>
      </c>
      <c r="E61" s="203">
        <v>-0.14000000000000001</v>
      </c>
      <c r="F61" s="203">
        <v>-0.16</v>
      </c>
      <c r="G61" s="40" t="s">
        <v>161</v>
      </c>
      <c r="H61" s="203">
        <v>-7.0000000000000007E-2</v>
      </c>
      <c r="I61" s="203">
        <v>-0.17</v>
      </c>
      <c r="J61" s="203">
        <v>0.36</v>
      </c>
      <c r="K61" s="203">
        <v>3.67</v>
      </c>
      <c r="L61" s="203">
        <v>0.08</v>
      </c>
      <c r="M61" s="203">
        <v>-0.12</v>
      </c>
      <c r="N61" s="203">
        <v>-0.35</v>
      </c>
      <c r="O61" s="203">
        <v>-0.59</v>
      </c>
      <c r="P61" s="40" t="s">
        <v>161</v>
      </c>
      <c r="Q61" s="203">
        <v>-0.3</v>
      </c>
      <c r="R61" s="203">
        <v>-0.01</v>
      </c>
      <c r="S61" s="203">
        <v>-0.22</v>
      </c>
      <c r="T61" s="203">
        <v>0.28000000000000003</v>
      </c>
      <c r="U61" s="203">
        <v>0.08</v>
      </c>
      <c r="V61" s="203">
        <v>-0.33</v>
      </c>
      <c r="W61" s="203">
        <v>-0.25</v>
      </c>
    </row>
    <row r="62" spans="1:23">
      <c r="A62" s="40" t="s">
        <v>50</v>
      </c>
      <c r="B62" s="40" t="s">
        <v>138</v>
      </c>
      <c r="C62" s="40" t="s">
        <v>103</v>
      </c>
      <c r="D62" s="40">
        <v>2025</v>
      </c>
      <c r="E62" s="40">
        <v>5116.1900634765598</v>
      </c>
      <c r="F62" s="40">
        <v>3953</v>
      </c>
      <c r="H62" s="40">
        <v>3596.8900146484398</v>
      </c>
      <c r="I62" s="40">
        <v>2429.0999603271498</v>
      </c>
      <c r="J62" s="40">
        <v>580.88000488281295</v>
      </c>
      <c r="L62" s="40">
        <v>2681.03002738953</v>
      </c>
      <c r="M62" s="40">
        <v>997.489990234375</v>
      </c>
      <c r="N62" s="40">
        <v>617.50999450683605</v>
      </c>
      <c r="O62" s="40">
        <v>1452.6600227356</v>
      </c>
      <c r="Q62" s="40">
        <v>422.5</v>
      </c>
      <c r="R62" s="40">
        <v>5576.0899543762198</v>
      </c>
      <c r="S62" s="40">
        <v>114.600002288818</v>
      </c>
      <c r="T62" s="40">
        <v>267.08000373840298</v>
      </c>
      <c r="U62" s="40">
        <v>99</v>
      </c>
      <c r="V62" s="40">
        <v>4384.0800037383997</v>
      </c>
      <c r="W62" s="40">
        <v>2764.1900024414099</v>
      </c>
    </row>
    <row r="63" spans="1:23">
      <c r="A63" s="40" t="s">
        <v>50</v>
      </c>
      <c r="B63" s="40" t="s">
        <v>138</v>
      </c>
      <c r="C63" s="40" t="s">
        <v>103</v>
      </c>
      <c r="D63" s="40">
        <v>2026</v>
      </c>
      <c r="F63" s="40">
        <v>767.91998291015602</v>
      </c>
      <c r="I63" s="40">
        <v>505.19999694824202</v>
      </c>
      <c r="L63" s="40">
        <v>731.16999244689896</v>
      </c>
      <c r="M63" s="40">
        <v>559.20999526977505</v>
      </c>
      <c r="N63" s="40">
        <v>97.919998168945298</v>
      </c>
      <c r="O63" s="40">
        <v>866.66999626159702</v>
      </c>
      <c r="Q63" s="40">
        <v>65</v>
      </c>
      <c r="R63" s="40">
        <v>1250.3400135040299</v>
      </c>
      <c r="S63" s="40">
        <v>22.920000076293899</v>
      </c>
      <c r="U63" s="40">
        <v>55</v>
      </c>
      <c r="V63" s="40">
        <v>526.66998291015602</v>
      </c>
    </row>
    <row r="64" spans="1:23">
      <c r="A64" s="40" t="s">
        <v>50</v>
      </c>
      <c r="B64" s="40" t="s">
        <v>138</v>
      </c>
      <c r="C64" s="40" t="s">
        <v>103</v>
      </c>
      <c r="D64" s="40" t="s">
        <v>15</v>
      </c>
      <c r="E64" s="203">
        <v>-1</v>
      </c>
      <c r="F64" s="203">
        <v>-0.81</v>
      </c>
      <c r="G64" s="40" t="s">
        <v>161</v>
      </c>
      <c r="H64" s="203">
        <v>-1</v>
      </c>
      <c r="I64" s="203">
        <v>-0.79</v>
      </c>
      <c r="J64" s="203">
        <v>-1</v>
      </c>
      <c r="K64" s="203" t="s">
        <v>161</v>
      </c>
      <c r="L64" s="203">
        <v>-0.73</v>
      </c>
      <c r="M64" s="203">
        <v>-0.44</v>
      </c>
      <c r="N64" s="203">
        <v>-0.84</v>
      </c>
      <c r="O64" s="203">
        <v>-0.4</v>
      </c>
      <c r="P64" s="40" t="s">
        <v>161</v>
      </c>
      <c r="Q64" s="203">
        <v>-0.85</v>
      </c>
      <c r="R64" s="203">
        <v>-0.78</v>
      </c>
      <c r="S64" s="203">
        <v>-0.8</v>
      </c>
      <c r="T64" s="203">
        <v>-1</v>
      </c>
      <c r="U64" s="203">
        <v>-0.44</v>
      </c>
      <c r="V64" s="203">
        <v>-0.88</v>
      </c>
      <c r="W64" s="203">
        <v>-1</v>
      </c>
    </row>
    <row r="65" spans="1:23">
      <c r="A65" s="40" t="s">
        <v>50</v>
      </c>
      <c r="B65" s="40" t="s">
        <v>139</v>
      </c>
      <c r="C65" s="40" t="s">
        <v>194</v>
      </c>
      <c r="D65" s="40">
        <v>2025</v>
      </c>
      <c r="E65" s="40">
        <v>3674.6500854492201</v>
      </c>
      <c r="F65" s="40">
        <v>1946.66003417969</v>
      </c>
      <c r="H65" s="40">
        <v>2381.8699645996098</v>
      </c>
      <c r="I65" s="40">
        <v>1154.1800231933601</v>
      </c>
      <c r="J65" s="40">
        <v>34.580001831054702</v>
      </c>
      <c r="L65" s="40">
        <v>1570.6599903106701</v>
      </c>
      <c r="M65" s="40">
        <v>1538.7400207519499</v>
      </c>
      <c r="N65" s="40">
        <v>1110.8200120925901</v>
      </c>
      <c r="O65" s="40">
        <v>3502.1500186920198</v>
      </c>
      <c r="Q65" s="40">
        <v>487.5</v>
      </c>
      <c r="R65" s="40">
        <v>3751.0499248504598</v>
      </c>
      <c r="S65" s="40">
        <v>183.33999633789099</v>
      </c>
      <c r="T65" s="40">
        <v>676.23997497558605</v>
      </c>
      <c r="U65" s="40">
        <v>66</v>
      </c>
      <c r="V65" s="40">
        <v>3670.2900848388699</v>
      </c>
      <c r="W65" s="40">
        <v>2127.5299987793001</v>
      </c>
    </row>
    <row r="66" spans="1:23">
      <c r="A66" s="40" t="s">
        <v>50</v>
      </c>
      <c r="B66" s="40" t="s">
        <v>139</v>
      </c>
      <c r="C66" s="40" t="s">
        <v>169</v>
      </c>
      <c r="D66" s="40">
        <v>2026</v>
      </c>
      <c r="E66" s="40">
        <v>4333.7300415039099</v>
      </c>
      <c r="F66" s="40">
        <v>2573.0000610351599</v>
      </c>
      <c r="H66" s="40">
        <v>1812.17004394531</v>
      </c>
      <c r="I66" s="40">
        <v>1463.9799861908</v>
      </c>
      <c r="J66" s="40">
        <v>34.169998168945298</v>
      </c>
      <c r="L66" s="40">
        <v>920.73999404907204</v>
      </c>
      <c r="M66" s="40">
        <v>509.290000915527</v>
      </c>
      <c r="N66" s="40">
        <v>46.25</v>
      </c>
      <c r="O66" s="40">
        <v>3075.5900287628201</v>
      </c>
      <c r="Q66" s="40">
        <v>146.25</v>
      </c>
      <c r="R66" s="40">
        <v>2651.8799648284898</v>
      </c>
      <c r="S66" s="40">
        <v>68.760000228881793</v>
      </c>
      <c r="T66" s="40">
        <v>315</v>
      </c>
      <c r="U66" s="40">
        <v>121</v>
      </c>
      <c r="V66" s="40">
        <v>1705.07995605469</v>
      </c>
      <c r="W66" s="40">
        <v>3770</v>
      </c>
    </row>
    <row r="67" spans="1:23">
      <c r="A67" s="40" t="s">
        <v>50</v>
      </c>
      <c r="B67" s="40" t="s">
        <v>139</v>
      </c>
      <c r="C67" s="40" t="s">
        <v>169</v>
      </c>
      <c r="D67" s="40" t="s">
        <v>15</v>
      </c>
      <c r="E67" s="203">
        <v>0.18</v>
      </c>
      <c r="F67" s="203">
        <v>0.32</v>
      </c>
      <c r="G67" s="40" t="s">
        <v>161</v>
      </c>
      <c r="H67" s="203">
        <v>-0.24</v>
      </c>
      <c r="I67" s="203">
        <v>0.27</v>
      </c>
      <c r="J67" s="203">
        <v>-0.01</v>
      </c>
      <c r="K67" s="203" t="s">
        <v>161</v>
      </c>
      <c r="L67" s="203">
        <v>-0.41</v>
      </c>
      <c r="M67" s="203">
        <v>-0.67</v>
      </c>
      <c r="N67" s="203">
        <v>-0.96</v>
      </c>
      <c r="O67" s="203">
        <v>-0.12</v>
      </c>
      <c r="P67" s="40" t="s">
        <v>161</v>
      </c>
      <c r="Q67" s="203">
        <v>-0.7</v>
      </c>
      <c r="R67" s="203">
        <v>-0.28999999999999998</v>
      </c>
      <c r="S67" s="203">
        <v>-0.62</v>
      </c>
      <c r="T67" s="203">
        <v>-0.53</v>
      </c>
      <c r="U67" s="203">
        <v>0.83</v>
      </c>
      <c r="V67" s="203">
        <v>-0.54</v>
      </c>
      <c r="W67" s="203">
        <v>0.77</v>
      </c>
    </row>
    <row r="68" spans="1:23">
      <c r="A68" s="40" t="s">
        <v>50</v>
      </c>
      <c r="B68" s="40" t="s">
        <v>140</v>
      </c>
      <c r="C68" s="40" t="s">
        <v>104</v>
      </c>
      <c r="D68" s="40">
        <v>2025</v>
      </c>
      <c r="E68" s="40">
        <v>162224.748046875</v>
      </c>
      <c r="F68" s="40">
        <v>73465.908203125</v>
      </c>
      <c r="H68" s="40">
        <v>92150.25</v>
      </c>
      <c r="I68" s="40">
        <v>45523.1396484375</v>
      </c>
      <c r="J68" s="40">
        <v>2132.50000762939</v>
      </c>
      <c r="K68" s="40">
        <v>1230.05004882813</v>
      </c>
      <c r="L68" s="40">
        <v>71035.480422973604</v>
      </c>
      <c r="M68" s="40">
        <v>38236.749497890502</v>
      </c>
      <c r="N68" s="40">
        <v>67402.549456119494</v>
      </c>
      <c r="O68" s="40">
        <v>244297.96144294701</v>
      </c>
      <c r="Q68" s="40">
        <v>7283.25</v>
      </c>
      <c r="R68" s="40">
        <v>109505.39012146</v>
      </c>
      <c r="S68" s="40">
        <v>2291.8899688720699</v>
      </c>
      <c r="T68" s="40">
        <v>3627.6900558471698</v>
      </c>
      <c r="U68" s="40">
        <v>6754</v>
      </c>
      <c r="V68" s="40">
        <v>84908.4004001617</v>
      </c>
      <c r="W68" s="40">
        <v>33107.4103469849</v>
      </c>
    </row>
    <row r="69" spans="1:23">
      <c r="A69" s="40" t="s">
        <v>50</v>
      </c>
      <c r="B69" s="40" t="s">
        <v>140</v>
      </c>
      <c r="C69" s="40" t="s">
        <v>104</v>
      </c>
      <c r="D69" s="40">
        <v>2026</v>
      </c>
      <c r="E69" s="40">
        <v>115540.76171875</v>
      </c>
      <c r="F69" s="40">
        <v>66746.3798828125</v>
      </c>
      <c r="H69" s="40">
        <v>65450.951171875</v>
      </c>
      <c r="I69" s="40">
        <v>34073.460281372099</v>
      </c>
      <c r="J69" s="40">
        <v>3246.0100402831999</v>
      </c>
      <c r="K69" s="40">
        <v>7755.9797668457004</v>
      </c>
      <c r="L69" s="40">
        <v>83602.729743957505</v>
      </c>
      <c r="M69" s="40">
        <v>30041.479717254599</v>
      </c>
      <c r="N69" s="40">
        <v>39722.000184536002</v>
      </c>
      <c r="O69" s="40">
        <v>147680.041140079</v>
      </c>
      <c r="Q69" s="40">
        <v>6243.25</v>
      </c>
      <c r="R69" s="40">
        <v>93967.1295354459</v>
      </c>
      <c r="S69" s="40">
        <v>2498.1000061035202</v>
      </c>
      <c r="T69" s="40">
        <v>2769.26001739502</v>
      </c>
      <c r="U69" s="40">
        <v>8852.8300018310492</v>
      </c>
      <c r="V69" s="40">
        <v>49642.840333938599</v>
      </c>
      <c r="W69" s="40">
        <v>21314.0201587677</v>
      </c>
    </row>
    <row r="70" spans="1:23">
      <c r="A70" s="40" t="s">
        <v>50</v>
      </c>
      <c r="B70" s="40" t="s">
        <v>140</v>
      </c>
      <c r="C70" s="40" t="s">
        <v>104</v>
      </c>
      <c r="D70" s="40" t="s">
        <v>15</v>
      </c>
      <c r="E70" s="203">
        <v>-0.28999999999999998</v>
      </c>
      <c r="F70" s="203">
        <v>-0.09</v>
      </c>
      <c r="G70" s="40" t="s">
        <v>161</v>
      </c>
      <c r="H70" s="203">
        <v>-0.28999999999999998</v>
      </c>
      <c r="I70" s="203">
        <v>-0.25</v>
      </c>
      <c r="J70" s="203">
        <v>0.52</v>
      </c>
      <c r="K70" s="203">
        <v>5.31</v>
      </c>
      <c r="L70" s="203">
        <v>0.18</v>
      </c>
      <c r="M70" s="203">
        <v>-0.21</v>
      </c>
      <c r="N70" s="203">
        <v>-0.41</v>
      </c>
      <c r="O70" s="203">
        <v>-0.4</v>
      </c>
      <c r="P70" s="40" t="s">
        <v>161</v>
      </c>
      <c r="Q70" s="203">
        <v>-0.14000000000000001</v>
      </c>
      <c r="R70" s="203">
        <v>-0.14000000000000001</v>
      </c>
      <c r="S70" s="203">
        <v>0.09</v>
      </c>
      <c r="T70" s="203">
        <v>-0.24</v>
      </c>
      <c r="U70" s="203">
        <v>0.31</v>
      </c>
      <c r="V70" s="203">
        <v>-0.42</v>
      </c>
      <c r="W70" s="203">
        <v>-0.36</v>
      </c>
    </row>
    <row r="71" spans="1:23">
      <c r="A71" s="40" t="s">
        <v>50</v>
      </c>
      <c r="B71" s="40" t="s">
        <v>134</v>
      </c>
      <c r="C71" s="40" t="s">
        <v>149</v>
      </c>
      <c r="D71" s="40">
        <v>2025</v>
      </c>
      <c r="E71" s="40">
        <v>178798.37109375</v>
      </c>
      <c r="F71" s="40">
        <v>52276.649902343801</v>
      </c>
      <c r="H71" s="40">
        <v>93897.16015625</v>
      </c>
      <c r="I71" s="40">
        <v>36188.929992675803</v>
      </c>
      <c r="K71" s="40">
        <v>1366.6900024414099</v>
      </c>
      <c r="L71" s="40">
        <v>76832.560136795</v>
      </c>
      <c r="M71" s="40">
        <v>19157.2199745178</v>
      </c>
      <c r="N71" s="40">
        <v>41248.839981079102</v>
      </c>
      <c r="O71" s="40">
        <v>183657.14111137399</v>
      </c>
      <c r="Q71" s="40">
        <v>6587.75</v>
      </c>
      <c r="R71" s="40">
        <v>95680.780191421494</v>
      </c>
      <c r="S71" s="40">
        <v>3208.51000976563</v>
      </c>
      <c r="T71" s="40">
        <v>9092.2101135253906</v>
      </c>
      <c r="U71" s="40">
        <v>4806.6700744628897</v>
      </c>
      <c r="V71" s="40">
        <v>102070.898544312</v>
      </c>
      <c r="W71" s="40">
        <v>30477.199607849099</v>
      </c>
    </row>
    <row r="72" spans="1:23">
      <c r="A72" s="40" t="s">
        <v>50</v>
      </c>
      <c r="B72" s="40" t="s">
        <v>134</v>
      </c>
      <c r="C72" s="40" t="s">
        <v>167</v>
      </c>
      <c r="D72" s="40">
        <v>2026</v>
      </c>
      <c r="E72" s="40">
        <v>134973.38183593799</v>
      </c>
      <c r="F72" s="40">
        <v>44127.4404296875</v>
      </c>
      <c r="H72" s="40">
        <v>79416.049316406294</v>
      </c>
      <c r="I72" s="40">
        <v>30837.859802246101</v>
      </c>
      <c r="K72" s="40">
        <v>5535.0599975585901</v>
      </c>
      <c r="L72" s="40">
        <v>77644.189979553194</v>
      </c>
      <c r="M72" s="40">
        <v>23039.689926147501</v>
      </c>
      <c r="N72" s="40">
        <v>35347.120025634802</v>
      </c>
      <c r="O72" s="40">
        <v>239773.19693183899</v>
      </c>
      <c r="Q72" s="40">
        <v>5551</v>
      </c>
      <c r="R72" s="40">
        <v>78679.789537429795</v>
      </c>
      <c r="S72" s="40">
        <v>1604.27000427246</v>
      </c>
      <c r="T72" s="40">
        <v>6878.5900268554697</v>
      </c>
      <c r="U72" s="40">
        <v>4978.3898925781295</v>
      </c>
      <c r="V72" s="40">
        <v>62363.919998168902</v>
      </c>
      <c r="W72" s="40">
        <v>34512.000182151802</v>
      </c>
    </row>
    <row r="73" spans="1:23">
      <c r="A73" s="40" t="s">
        <v>50</v>
      </c>
      <c r="B73" s="40" t="s">
        <v>134</v>
      </c>
      <c r="C73" s="40" t="s">
        <v>167</v>
      </c>
      <c r="D73" s="40" t="s">
        <v>15</v>
      </c>
      <c r="E73" s="203">
        <v>-0.25</v>
      </c>
      <c r="F73" s="203">
        <v>-0.16</v>
      </c>
      <c r="G73" s="40" t="s">
        <v>161</v>
      </c>
      <c r="H73" s="203">
        <v>-0.15</v>
      </c>
      <c r="I73" s="203">
        <v>-0.15</v>
      </c>
      <c r="J73" s="203" t="s">
        <v>161</v>
      </c>
      <c r="K73" s="203">
        <v>3.05</v>
      </c>
      <c r="L73" s="203">
        <v>0.01</v>
      </c>
      <c r="M73" s="203">
        <v>0.2</v>
      </c>
      <c r="N73" s="203">
        <v>-0.14000000000000001</v>
      </c>
      <c r="O73" s="203">
        <v>0.31</v>
      </c>
      <c r="P73" s="40" t="s">
        <v>161</v>
      </c>
      <c r="Q73" s="203">
        <v>-0.16</v>
      </c>
      <c r="R73" s="203">
        <v>-0.18</v>
      </c>
      <c r="S73" s="203">
        <v>-0.5</v>
      </c>
      <c r="T73" s="203">
        <v>-0.24</v>
      </c>
      <c r="U73" s="203">
        <v>0.04</v>
      </c>
      <c r="V73" s="203">
        <v>-0.39</v>
      </c>
      <c r="W73" s="203">
        <v>0.13</v>
      </c>
    </row>
    <row r="74" spans="1:23">
      <c r="A74" s="40" t="s">
        <v>50</v>
      </c>
      <c r="B74" s="40" t="s">
        <v>168</v>
      </c>
      <c r="C74" s="40" t="s">
        <v>163</v>
      </c>
      <c r="D74" s="40">
        <v>2025</v>
      </c>
    </row>
    <row r="75" spans="1:23">
      <c r="A75" s="40" t="s">
        <v>50</v>
      </c>
      <c r="B75" s="40" t="s">
        <v>168</v>
      </c>
      <c r="C75" s="40" t="s">
        <v>149</v>
      </c>
      <c r="D75" s="40">
        <v>2026</v>
      </c>
      <c r="E75" s="40">
        <v>50818.029541015603</v>
      </c>
      <c r="F75" s="40">
        <v>23462.940002441399</v>
      </c>
      <c r="H75" s="40">
        <v>26879.8407592773</v>
      </c>
      <c r="I75" s="40">
        <v>16806.840209960901</v>
      </c>
      <c r="K75" s="40">
        <v>8883.6800842285193</v>
      </c>
      <c r="L75" s="40">
        <v>45525.1698932648</v>
      </c>
      <c r="M75" s="40">
        <v>8457.7999877929706</v>
      </c>
      <c r="N75" s="40">
        <v>12666.7599840164</v>
      </c>
      <c r="O75" s="40">
        <v>133361.21081924401</v>
      </c>
      <c r="Q75" s="40">
        <v>2525.25</v>
      </c>
      <c r="R75" s="40">
        <v>34312.8701171875</v>
      </c>
      <c r="S75" s="40">
        <v>1787.5500049591101</v>
      </c>
      <c r="T75" s="40">
        <v>9822.3500518798792</v>
      </c>
      <c r="V75" s="40">
        <v>23189.2502441406</v>
      </c>
      <c r="W75" s="40">
        <v>19070.839935302702</v>
      </c>
    </row>
    <row r="76" spans="1:23">
      <c r="A76" s="40" t="s">
        <v>50</v>
      </c>
      <c r="B76" s="40" t="s">
        <v>168</v>
      </c>
      <c r="C76" s="40" t="s">
        <v>149</v>
      </c>
      <c r="D76" s="40" t="s">
        <v>15</v>
      </c>
      <c r="E76" s="203" t="s">
        <v>161</v>
      </c>
      <c r="F76" s="203" t="s">
        <v>161</v>
      </c>
      <c r="G76" s="40" t="s">
        <v>161</v>
      </c>
      <c r="H76" s="203" t="s">
        <v>161</v>
      </c>
      <c r="I76" s="203" t="s">
        <v>161</v>
      </c>
      <c r="J76" s="203" t="s">
        <v>161</v>
      </c>
      <c r="K76" s="203" t="s">
        <v>161</v>
      </c>
      <c r="L76" s="203" t="s">
        <v>161</v>
      </c>
      <c r="M76" s="203" t="s">
        <v>161</v>
      </c>
      <c r="N76" s="203" t="s">
        <v>161</v>
      </c>
      <c r="O76" s="203" t="s">
        <v>161</v>
      </c>
      <c r="P76" s="40" t="s">
        <v>161</v>
      </c>
      <c r="Q76" s="203" t="s">
        <v>161</v>
      </c>
      <c r="R76" s="203" t="s">
        <v>161</v>
      </c>
      <c r="S76" s="203" t="s">
        <v>161</v>
      </c>
      <c r="T76" s="203" t="s">
        <v>161</v>
      </c>
      <c r="U76" s="203" t="s">
        <v>161</v>
      </c>
      <c r="V76" s="203" t="s">
        <v>161</v>
      </c>
      <c r="W76" s="203" t="s">
        <v>161</v>
      </c>
    </row>
    <row r="77" spans="1:23">
      <c r="A77" s="40" t="s">
        <v>50</v>
      </c>
      <c r="B77" s="40" t="s">
        <v>135</v>
      </c>
      <c r="C77" s="40" t="s">
        <v>115</v>
      </c>
      <c r="D77" s="40">
        <v>2025</v>
      </c>
      <c r="E77" s="40">
        <v>145908.005859375</v>
      </c>
      <c r="F77" s="40">
        <v>50479.819824218801</v>
      </c>
      <c r="H77" s="40">
        <v>72619.369628906294</v>
      </c>
      <c r="I77" s="40">
        <v>40560.530151367202</v>
      </c>
      <c r="K77" s="40">
        <v>2630.9300994873001</v>
      </c>
      <c r="L77" s="40">
        <v>99610.030166626006</v>
      </c>
      <c r="M77" s="40">
        <v>25775.540112495401</v>
      </c>
      <c r="N77" s="40">
        <v>22697.170229911801</v>
      </c>
      <c r="O77" s="40">
        <v>376620.10968971299</v>
      </c>
      <c r="Q77" s="40">
        <v>9165</v>
      </c>
      <c r="R77" s="40">
        <v>97917.680471420303</v>
      </c>
      <c r="S77" s="40">
        <v>3758.4500122070299</v>
      </c>
      <c r="T77" s="40">
        <v>33104.390060424797</v>
      </c>
      <c r="V77" s="40">
        <v>69492.189758300796</v>
      </c>
      <c r="W77" s="40">
        <v>25626.729949951201</v>
      </c>
    </row>
    <row r="78" spans="1:23">
      <c r="A78" s="40" t="s">
        <v>50</v>
      </c>
      <c r="B78" s="40" t="s">
        <v>135</v>
      </c>
      <c r="C78" s="40" t="s">
        <v>166</v>
      </c>
      <c r="D78" s="40">
        <v>2026</v>
      </c>
      <c r="E78" s="40">
        <v>58555.658691406301</v>
      </c>
      <c r="F78" s="40">
        <v>33527.560180664099</v>
      </c>
      <c r="H78" s="40">
        <v>28935.4699707031</v>
      </c>
      <c r="I78" s="40">
        <v>18702.500152587902</v>
      </c>
      <c r="J78" s="40">
        <v>1366.71997070313</v>
      </c>
      <c r="K78" s="40">
        <v>683.36000061035202</v>
      </c>
      <c r="L78" s="40">
        <v>70089.629089355498</v>
      </c>
      <c r="M78" s="40">
        <v>10326.7399902344</v>
      </c>
      <c r="N78" s="40">
        <v>8332.9199848174994</v>
      </c>
      <c r="O78" s="40">
        <v>212124.193122864</v>
      </c>
      <c r="Q78" s="40">
        <v>7020</v>
      </c>
      <c r="R78" s="40">
        <v>53895.620243072502</v>
      </c>
      <c r="S78" s="40">
        <v>1627.12001037598</v>
      </c>
      <c r="T78" s="40">
        <v>19243.609741210901</v>
      </c>
      <c r="V78" s="40">
        <v>25233.919921875</v>
      </c>
      <c r="W78" s="40">
        <v>19876.9699707031</v>
      </c>
    </row>
    <row r="79" spans="1:23">
      <c r="A79" s="40" t="s">
        <v>50</v>
      </c>
      <c r="B79" s="40" t="s">
        <v>135</v>
      </c>
      <c r="C79" s="40" t="s">
        <v>166</v>
      </c>
      <c r="D79" s="40" t="s">
        <v>15</v>
      </c>
      <c r="E79" s="203">
        <v>-0.6</v>
      </c>
      <c r="F79" s="203">
        <v>-0.34</v>
      </c>
      <c r="G79" s="40" t="s">
        <v>161</v>
      </c>
      <c r="H79" s="203">
        <v>-0.6</v>
      </c>
      <c r="I79" s="203">
        <v>-0.54</v>
      </c>
      <c r="J79" s="203" t="s">
        <v>161</v>
      </c>
      <c r="K79" s="203">
        <v>-0.74</v>
      </c>
      <c r="L79" s="203">
        <v>-0.3</v>
      </c>
      <c r="M79" s="203">
        <v>-0.6</v>
      </c>
      <c r="N79" s="203">
        <v>-0.63</v>
      </c>
      <c r="O79" s="203">
        <v>-0.44</v>
      </c>
      <c r="P79" s="40" t="s">
        <v>161</v>
      </c>
      <c r="Q79" s="203">
        <v>-0.23</v>
      </c>
      <c r="R79" s="203">
        <v>-0.45</v>
      </c>
      <c r="S79" s="203">
        <v>-0.56999999999999995</v>
      </c>
      <c r="T79" s="203">
        <v>-0.42</v>
      </c>
      <c r="U79" s="203" t="s">
        <v>161</v>
      </c>
      <c r="V79" s="203">
        <v>-0.64</v>
      </c>
      <c r="W79" s="203">
        <v>-0.22</v>
      </c>
    </row>
    <row r="80" spans="1:23">
      <c r="A80" s="40" t="s">
        <v>50</v>
      </c>
      <c r="B80" s="40" t="s">
        <v>150</v>
      </c>
      <c r="C80" s="40" t="s">
        <v>162</v>
      </c>
      <c r="D80" s="40">
        <v>2025</v>
      </c>
      <c r="E80" s="40">
        <v>102588</v>
      </c>
      <c r="F80" s="40">
        <v>36115.55078125</v>
      </c>
      <c r="H80" s="40">
        <v>47830.23046875</v>
      </c>
      <c r="I80" s="40">
        <v>22653.4795379639</v>
      </c>
      <c r="K80" s="40">
        <v>1298.3499298095701</v>
      </c>
      <c r="L80" s="40">
        <v>37969.009952545202</v>
      </c>
      <c r="M80" s="40">
        <v>7835.8901212699702</v>
      </c>
      <c r="N80" s="40">
        <v>73678.030624389605</v>
      </c>
      <c r="O80" s="40">
        <v>168337.44807434099</v>
      </c>
      <c r="Q80" s="40">
        <v>4810</v>
      </c>
      <c r="R80" s="40">
        <v>40643.6693553925</v>
      </c>
      <c r="S80" s="40">
        <v>1902.15001678467</v>
      </c>
      <c r="T80" s="40">
        <v>6210.7899188995398</v>
      </c>
      <c r="U80" s="40">
        <v>686.66998291015602</v>
      </c>
      <c r="V80" s="40">
        <v>59553.230285644502</v>
      </c>
      <c r="W80" s="40">
        <v>21723.810119628899</v>
      </c>
    </row>
    <row r="81" spans="1:23">
      <c r="A81" s="40" t="s">
        <v>50</v>
      </c>
      <c r="B81" s="40" t="s">
        <v>150</v>
      </c>
      <c r="C81" s="40" t="s">
        <v>162</v>
      </c>
      <c r="D81" s="40">
        <v>2026</v>
      </c>
      <c r="E81" s="40">
        <v>71890.980957031294</v>
      </c>
      <c r="F81" s="40">
        <v>33320.859619140603</v>
      </c>
      <c r="H81" s="40">
        <v>40419.969848632798</v>
      </c>
      <c r="I81" s="40">
        <v>19943.690124511701</v>
      </c>
      <c r="K81" s="40">
        <v>2050</v>
      </c>
      <c r="L81" s="40">
        <v>35044.840261459402</v>
      </c>
      <c r="M81" s="40">
        <v>9135.2501354217493</v>
      </c>
      <c r="N81" s="40">
        <v>62295.390792846702</v>
      </c>
      <c r="O81" s="40">
        <v>175183.62147521999</v>
      </c>
      <c r="Q81" s="40">
        <v>3259.75</v>
      </c>
      <c r="R81" s="40">
        <v>36168.159919967897</v>
      </c>
      <c r="S81" s="40">
        <v>2177.1899890899699</v>
      </c>
      <c r="T81" s="40">
        <v>5845.1199989318802</v>
      </c>
      <c r="U81" s="40">
        <v>1421.6599884033201</v>
      </c>
      <c r="V81" s="40">
        <v>32574.260421752901</v>
      </c>
      <c r="W81" s="40">
        <v>14441.3699645996</v>
      </c>
    </row>
    <row r="82" spans="1:23">
      <c r="A82" s="40" t="s">
        <v>50</v>
      </c>
      <c r="B82" s="40" t="s">
        <v>150</v>
      </c>
      <c r="C82" s="40" t="s">
        <v>162</v>
      </c>
      <c r="D82" s="40" t="s">
        <v>15</v>
      </c>
      <c r="E82" s="203">
        <v>-0.3</v>
      </c>
      <c r="F82" s="203">
        <v>-0.08</v>
      </c>
      <c r="G82" s="40" t="s">
        <v>161</v>
      </c>
      <c r="H82" s="203">
        <v>-0.15</v>
      </c>
      <c r="I82" s="203">
        <v>-0.12</v>
      </c>
      <c r="J82" s="203" t="s">
        <v>161</v>
      </c>
      <c r="K82" s="203">
        <v>0.57999999999999996</v>
      </c>
      <c r="L82" s="203">
        <v>-0.08</v>
      </c>
      <c r="M82" s="203">
        <v>0.17</v>
      </c>
      <c r="N82" s="203">
        <v>-0.15</v>
      </c>
      <c r="O82" s="203">
        <v>0.04</v>
      </c>
      <c r="P82" s="40" t="s">
        <v>161</v>
      </c>
      <c r="Q82" s="203">
        <v>-0.32</v>
      </c>
      <c r="R82" s="203">
        <v>-0.11</v>
      </c>
      <c r="S82" s="203">
        <v>0.14000000000000001</v>
      </c>
      <c r="T82" s="203">
        <v>-0.06</v>
      </c>
      <c r="U82" s="203">
        <v>1.07</v>
      </c>
      <c r="V82" s="203">
        <v>-0.45</v>
      </c>
      <c r="W82" s="203">
        <v>-0.34</v>
      </c>
    </row>
    <row r="83" spans="1:23">
      <c r="A83" s="40" t="s">
        <v>50</v>
      </c>
      <c r="B83" s="40" t="s">
        <v>157</v>
      </c>
      <c r="C83" s="40" t="s">
        <v>189</v>
      </c>
      <c r="D83" s="40">
        <v>2025</v>
      </c>
      <c r="E83" s="40">
        <v>76903.2001953125</v>
      </c>
      <c r="F83" s="40">
        <v>43839.0400390625</v>
      </c>
      <c r="H83" s="40">
        <v>39072.200439453103</v>
      </c>
      <c r="I83" s="40">
        <v>27481.940002441399</v>
      </c>
      <c r="J83" s="40">
        <v>2311.1600036621098</v>
      </c>
      <c r="K83" s="40">
        <v>854.21998596191395</v>
      </c>
      <c r="L83" s="40">
        <v>38888.989624023401</v>
      </c>
      <c r="M83" s="40">
        <v>26877.7898635864</v>
      </c>
      <c r="N83" s="40">
        <v>23995.969610214201</v>
      </c>
      <c r="O83" s="40">
        <v>107659.58948707599</v>
      </c>
      <c r="Q83" s="40">
        <v>4608.5</v>
      </c>
      <c r="R83" s="40">
        <v>65552.429889678999</v>
      </c>
      <c r="S83" s="40">
        <v>2475.1699905395499</v>
      </c>
      <c r="T83" s="40">
        <v>6679.9200153350803</v>
      </c>
      <c r="U83" s="40">
        <v>8168.0100555419904</v>
      </c>
      <c r="V83" s="40">
        <v>56576.210250854499</v>
      </c>
      <c r="W83" s="40">
        <v>40341.3495101929</v>
      </c>
    </row>
    <row r="84" spans="1:23">
      <c r="A84" s="40" t="s">
        <v>50</v>
      </c>
      <c r="B84" s="40" t="s">
        <v>157</v>
      </c>
      <c r="C84" s="40" t="s">
        <v>174</v>
      </c>
      <c r="D84" s="40">
        <v>2026</v>
      </c>
      <c r="E84" s="40">
        <v>73367.580749511704</v>
      </c>
      <c r="F84" s="40">
        <v>43730.970214843801</v>
      </c>
      <c r="H84" s="40">
        <v>36560.310180664099</v>
      </c>
      <c r="I84" s="40">
        <v>25901.339447021499</v>
      </c>
      <c r="J84" s="40">
        <v>7072.7698898315402</v>
      </c>
      <c r="K84" s="40">
        <v>2938.47996520996</v>
      </c>
      <c r="L84" s="40">
        <v>46905.090229034402</v>
      </c>
      <c r="M84" s="40">
        <v>28908.030265808098</v>
      </c>
      <c r="N84" s="40">
        <v>17604.819982528701</v>
      </c>
      <c r="O84" s="40">
        <v>144241.47093200701</v>
      </c>
      <c r="Q84" s="40">
        <v>3305.25</v>
      </c>
      <c r="R84" s="40">
        <v>57676.829963684097</v>
      </c>
      <c r="S84" s="40">
        <v>2452.1700000762899</v>
      </c>
      <c r="T84" s="40">
        <v>7003.3398647308404</v>
      </c>
      <c r="U84" s="40">
        <v>5564.8399963378897</v>
      </c>
      <c r="V84" s="40">
        <v>39236.66015625</v>
      </c>
      <c r="W84" s="40">
        <v>35386.160287857099</v>
      </c>
    </row>
    <row r="85" spans="1:23">
      <c r="A85" s="40" t="s">
        <v>50</v>
      </c>
      <c r="B85" s="40" t="s">
        <v>157</v>
      </c>
      <c r="C85" s="40" t="s">
        <v>174</v>
      </c>
      <c r="D85" s="40" t="s">
        <v>15</v>
      </c>
      <c r="E85" s="203">
        <v>-0.05</v>
      </c>
      <c r="F85" s="203">
        <v>0</v>
      </c>
      <c r="G85" s="40" t="s">
        <v>161</v>
      </c>
      <c r="H85" s="203">
        <v>-0.06</v>
      </c>
      <c r="I85" s="203">
        <v>-0.06</v>
      </c>
      <c r="J85" s="203">
        <v>2.06</v>
      </c>
      <c r="K85" s="203">
        <v>2.44</v>
      </c>
      <c r="L85" s="203">
        <v>0.21</v>
      </c>
      <c r="M85" s="203">
        <v>0.08</v>
      </c>
      <c r="N85" s="203">
        <v>-0.27</v>
      </c>
      <c r="O85" s="203">
        <v>0.34</v>
      </c>
      <c r="P85" s="40" t="s">
        <v>161</v>
      </c>
      <c r="Q85" s="203">
        <v>-0.28000000000000003</v>
      </c>
      <c r="R85" s="203">
        <v>-0.12</v>
      </c>
      <c r="S85" s="203">
        <v>-0.01</v>
      </c>
      <c r="T85" s="203">
        <v>0.05</v>
      </c>
      <c r="U85" s="203">
        <v>-0.32</v>
      </c>
      <c r="V85" s="203">
        <v>-0.31</v>
      </c>
      <c r="W85" s="203">
        <v>-0.12</v>
      </c>
    </row>
    <row r="86" spans="1:23">
      <c r="A86" s="40" t="s">
        <v>50</v>
      </c>
      <c r="B86" s="40" t="s">
        <v>156</v>
      </c>
      <c r="C86" s="40" t="s">
        <v>121</v>
      </c>
      <c r="D86" s="40">
        <v>2025</v>
      </c>
      <c r="E86" s="40">
        <v>3744.0500183105501</v>
      </c>
      <c r="F86" s="40">
        <v>2728.0000610351599</v>
      </c>
      <c r="H86" s="40">
        <v>2702.1800537109398</v>
      </c>
      <c r="I86" s="40">
        <v>1344.51000976563</v>
      </c>
      <c r="J86" s="40">
        <v>34.169998168945298</v>
      </c>
      <c r="L86" s="40">
        <v>4224.7700252533004</v>
      </c>
      <c r="M86" s="40">
        <v>2307.36999988556</v>
      </c>
      <c r="N86" s="40">
        <v>5387.8098907470703</v>
      </c>
      <c r="O86" s="40">
        <v>14860.360189437901</v>
      </c>
      <c r="Q86" s="40">
        <v>149.5</v>
      </c>
      <c r="R86" s="40">
        <v>3660.25001716614</v>
      </c>
      <c r="S86" s="40">
        <v>275.01999664306601</v>
      </c>
      <c r="T86" s="40">
        <v>464.010009765625</v>
      </c>
      <c r="U86" s="40">
        <v>823.00999450683605</v>
      </c>
      <c r="V86" s="40">
        <v>5546.5900878906295</v>
      </c>
      <c r="W86" s="40">
        <v>4177.2700328826904</v>
      </c>
    </row>
    <row r="87" spans="1:23">
      <c r="A87" s="40" t="s">
        <v>50</v>
      </c>
      <c r="B87" s="40" t="s">
        <v>156</v>
      </c>
      <c r="C87" s="40" t="s">
        <v>121</v>
      </c>
      <c r="D87" s="40">
        <v>2026</v>
      </c>
      <c r="E87" s="40">
        <v>197.77000427246099</v>
      </c>
      <c r="F87" s="40">
        <v>250.25</v>
      </c>
      <c r="I87" s="40">
        <v>61.75</v>
      </c>
      <c r="O87" s="40">
        <v>541.67999267578102</v>
      </c>
      <c r="R87" s="40">
        <v>564.58999252319302</v>
      </c>
      <c r="V87" s="40">
        <v>98.75</v>
      </c>
    </row>
    <row r="88" spans="1:23">
      <c r="A88" s="40" t="s">
        <v>50</v>
      </c>
      <c r="B88" s="40" t="s">
        <v>156</v>
      </c>
      <c r="C88" s="40" t="s">
        <v>121</v>
      </c>
      <c r="D88" s="40" t="s">
        <v>15</v>
      </c>
      <c r="E88" s="203">
        <v>-0.95</v>
      </c>
      <c r="F88" s="203">
        <v>-0.91</v>
      </c>
      <c r="G88" s="40" t="s">
        <v>161</v>
      </c>
      <c r="H88" s="203">
        <v>-1</v>
      </c>
      <c r="I88" s="203">
        <v>-0.95</v>
      </c>
      <c r="J88" s="203">
        <v>-1</v>
      </c>
      <c r="K88" s="203" t="s">
        <v>161</v>
      </c>
      <c r="L88" s="203">
        <v>-1</v>
      </c>
      <c r="M88" s="203">
        <v>-1</v>
      </c>
      <c r="N88" s="203">
        <v>-1</v>
      </c>
      <c r="O88" s="203">
        <v>-0.96</v>
      </c>
      <c r="P88" s="40" t="s">
        <v>161</v>
      </c>
      <c r="Q88" s="203">
        <v>-1</v>
      </c>
      <c r="R88" s="203">
        <v>-0.85</v>
      </c>
      <c r="S88" s="203">
        <v>-1</v>
      </c>
      <c r="T88" s="203">
        <v>-1</v>
      </c>
      <c r="U88" s="203">
        <v>-1</v>
      </c>
      <c r="V88" s="203">
        <v>-0.98</v>
      </c>
      <c r="W88" s="203">
        <v>-1</v>
      </c>
    </row>
    <row r="89" spans="1:23">
      <c r="A89" s="40" t="s">
        <v>50</v>
      </c>
      <c r="B89" s="40" t="s">
        <v>55</v>
      </c>
      <c r="C89" s="40" t="s">
        <v>55</v>
      </c>
      <c r="D89" s="40">
        <v>2025</v>
      </c>
      <c r="E89" s="40">
        <v>4518506.7257614201</v>
      </c>
      <c r="F89" s="40">
        <v>3233247.67943573</v>
      </c>
      <c r="G89" s="40">
        <v>0</v>
      </c>
      <c r="H89" s="40">
        <v>2387052.43942738</v>
      </c>
      <c r="I89" s="40">
        <v>1474316.9261589099</v>
      </c>
      <c r="J89" s="40">
        <v>402</v>
      </c>
      <c r="K89" s="40">
        <v>82192.5</v>
      </c>
      <c r="L89" s="40">
        <v>3588543.26000595</v>
      </c>
      <c r="M89" s="40">
        <v>455482.126390933</v>
      </c>
      <c r="N89" s="40">
        <v>3320219.9357452402</v>
      </c>
      <c r="O89" s="40">
        <v>2826560.2891874402</v>
      </c>
      <c r="P89" s="40">
        <v>0</v>
      </c>
      <c r="Q89" s="40">
        <v>84750.829843759493</v>
      </c>
      <c r="R89" s="40">
        <v>3882138.8519720999</v>
      </c>
      <c r="S89" s="40">
        <v>53403.75</v>
      </c>
      <c r="T89" s="40">
        <v>367704.04475402902</v>
      </c>
      <c r="U89" s="40">
        <v>203770.65126037601</v>
      </c>
      <c r="V89" s="40">
        <v>2040569.3430051799</v>
      </c>
      <c r="W89" s="40">
        <v>1093574.72622871</v>
      </c>
    </row>
    <row r="90" spans="1:23">
      <c r="A90" s="40" t="s">
        <v>50</v>
      </c>
      <c r="B90" s="40" t="s">
        <v>55</v>
      </c>
      <c r="C90" s="40" t="s">
        <v>55</v>
      </c>
      <c r="D90" s="40">
        <v>2026</v>
      </c>
      <c r="E90" s="40">
        <v>4386947.8272857703</v>
      </c>
      <c r="F90" s="40">
        <v>2746571.6281681098</v>
      </c>
      <c r="G90" s="40">
        <v>0</v>
      </c>
      <c r="H90" s="40">
        <v>2616936.9616966299</v>
      </c>
      <c r="I90" s="40">
        <v>1615599.3010273001</v>
      </c>
      <c r="J90" s="40">
        <v>9902.8198852539099</v>
      </c>
      <c r="K90" s="40">
        <v>290387.5</v>
      </c>
      <c r="L90" s="40">
        <v>3717532.55023003</v>
      </c>
      <c r="M90" s="40">
        <v>396516.16054415703</v>
      </c>
      <c r="N90" s="40">
        <v>2612762.3128933902</v>
      </c>
      <c r="O90" s="40">
        <v>2265372.8049487998</v>
      </c>
      <c r="P90" s="40">
        <v>0</v>
      </c>
      <c r="Q90" s="40">
        <v>77405.130084991499</v>
      </c>
      <c r="R90" s="40">
        <v>3515134.6302108802</v>
      </c>
      <c r="S90" s="40">
        <v>69820.600000381499</v>
      </c>
      <c r="T90" s="40">
        <v>393908.33801460301</v>
      </c>
      <c r="U90" s="40">
        <v>199088.64019775399</v>
      </c>
      <c r="V90" s="40">
        <v>2025693.7100791901</v>
      </c>
      <c r="W90" s="40">
        <v>1510239.0587238099</v>
      </c>
    </row>
    <row r="91" spans="1:23">
      <c r="A91" s="40" t="s">
        <v>50</v>
      </c>
      <c r="B91" s="40" t="s">
        <v>55</v>
      </c>
      <c r="C91" s="40" t="s">
        <v>55</v>
      </c>
      <c r="D91" s="40" t="s">
        <v>15</v>
      </c>
      <c r="E91" s="203">
        <v>-0.03</v>
      </c>
      <c r="F91" s="203">
        <v>-0.15</v>
      </c>
      <c r="G91" s="40" t="s">
        <v>161</v>
      </c>
      <c r="H91" s="203">
        <v>0.1</v>
      </c>
      <c r="I91" s="203">
        <v>0.1</v>
      </c>
      <c r="J91" s="203" t="s">
        <v>197</v>
      </c>
      <c r="K91" s="203">
        <v>2.5299999999999998</v>
      </c>
      <c r="L91" s="203">
        <v>0.04</v>
      </c>
      <c r="M91" s="203">
        <v>-0.13</v>
      </c>
      <c r="N91" s="203">
        <v>-0.21</v>
      </c>
      <c r="O91" s="203">
        <v>-0.2</v>
      </c>
      <c r="P91" s="40" t="s">
        <v>161</v>
      </c>
      <c r="Q91" s="203">
        <v>-0.09</v>
      </c>
      <c r="R91" s="203">
        <v>-0.09</v>
      </c>
      <c r="S91" s="203">
        <v>0.31</v>
      </c>
      <c r="T91" s="203">
        <v>7.0000000000000007E-2</v>
      </c>
      <c r="U91" s="203">
        <v>-0.02</v>
      </c>
      <c r="V91" s="203">
        <v>-0.01</v>
      </c>
      <c r="W91" s="203">
        <v>0.38</v>
      </c>
    </row>
    <row r="92" spans="1:23">
      <c r="A92" s="40" t="s">
        <v>50</v>
      </c>
      <c r="B92" s="40" t="s">
        <v>57</v>
      </c>
      <c r="C92" s="40" t="s">
        <v>146</v>
      </c>
      <c r="D92" s="40">
        <v>2025</v>
      </c>
      <c r="E92" s="40">
        <v>705176.56336021505</v>
      </c>
      <c r="F92" s="40">
        <v>394076.31039428699</v>
      </c>
      <c r="G92" s="40">
        <v>0</v>
      </c>
      <c r="H92" s="40">
        <v>372207.55888366699</v>
      </c>
      <c r="I92" s="40">
        <v>241675.69953918501</v>
      </c>
      <c r="J92" s="40">
        <v>12710.6600646973</v>
      </c>
      <c r="K92" s="40">
        <v>6184.4600830078198</v>
      </c>
      <c r="L92" s="40">
        <v>397780.19944191002</v>
      </c>
      <c r="M92" s="40">
        <v>139251.38960487401</v>
      </c>
      <c r="N92" s="40">
        <v>219353.53931188601</v>
      </c>
      <c r="O92" s="40">
        <v>1287523.54430199</v>
      </c>
      <c r="P92" s="40">
        <v>0</v>
      </c>
      <c r="Q92" s="40">
        <v>49507.25</v>
      </c>
      <c r="R92" s="40">
        <v>538688.430227509</v>
      </c>
      <c r="S92" s="40">
        <v>13338.26994133</v>
      </c>
      <c r="T92" s="40">
        <v>87565.858701705904</v>
      </c>
      <c r="U92" s="40">
        <v>43200.6700134278</v>
      </c>
      <c r="V92" s="40">
        <v>444949.74030304002</v>
      </c>
      <c r="W92" s="40">
        <v>139362.010066986</v>
      </c>
    </row>
    <row r="93" spans="1:23">
      <c r="A93" s="40" t="s">
        <v>50</v>
      </c>
      <c r="B93" s="40" t="s">
        <v>57</v>
      </c>
      <c r="C93" s="40" t="s">
        <v>146</v>
      </c>
      <c r="D93" s="40">
        <v>2026</v>
      </c>
      <c r="E93" s="40">
        <v>643858.69314575195</v>
      </c>
      <c r="F93" s="40">
        <v>374029.30908203102</v>
      </c>
      <c r="G93" s="40">
        <v>0</v>
      </c>
      <c r="H93" s="40">
        <v>357956.12081909197</v>
      </c>
      <c r="I93" s="40">
        <v>220442.20967864999</v>
      </c>
      <c r="J93" s="40">
        <v>29827.400154113799</v>
      </c>
      <c r="K93" s="40">
        <v>22858.2403182983</v>
      </c>
      <c r="L93" s="40">
        <v>406367.527057648</v>
      </c>
      <c r="M93" s="40">
        <v>137981.59977054599</v>
      </c>
      <c r="N93" s="40">
        <v>409100.796032905</v>
      </c>
      <c r="O93" s="40">
        <v>1346178.92175221</v>
      </c>
      <c r="P93" s="40">
        <v>0</v>
      </c>
      <c r="Q93" s="40">
        <v>35467.25</v>
      </c>
      <c r="R93" s="40">
        <v>454236.79020858702</v>
      </c>
      <c r="S93" s="40">
        <v>11550.370037078899</v>
      </c>
      <c r="T93" s="40">
        <v>70699.670253753706</v>
      </c>
      <c r="U93" s="40">
        <v>39713.710006713904</v>
      </c>
      <c r="V93" s="40">
        <v>289191.76756286598</v>
      </c>
      <c r="W93" s="40">
        <v>182683.68984794599</v>
      </c>
    </row>
    <row r="94" spans="1:23">
      <c r="A94" s="40" t="s">
        <v>50</v>
      </c>
      <c r="B94" s="40" t="s">
        <v>57</v>
      </c>
      <c r="C94" s="40" t="s">
        <v>146</v>
      </c>
      <c r="D94" s="40" t="s">
        <v>15</v>
      </c>
      <c r="E94" s="203">
        <v>-0.09</v>
      </c>
      <c r="F94" s="203">
        <v>-0.05</v>
      </c>
      <c r="G94" s="40" t="s">
        <v>161</v>
      </c>
      <c r="H94" s="203">
        <v>-0.04</v>
      </c>
      <c r="I94" s="203">
        <v>-0.09</v>
      </c>
      <c r="J94" s="203">
        <v>1.35</v>
      </c>
      <c r="K94" s="203">
        <v>2.7</v>
      </c>
      <c r="L94" s="203">
        <v>0.02</v>
      </c>
      <c r="M94" s="203">
        <v>-0.01</v>
      </c>
      <c r="N94" s="203">
        <v>0.87</v>
      </c>
      <c r="O94" s="203">
        <v>0.05</v>
      </c>
      <c r="P94" s="40" t="s">
        <v>161</v>
      </c>
      <c r="Q94" s="203">
        <v>-0.28000000000000003</v>
      </c>
      <c r="R94" s="203">
        <v>-0.16</v>
      </c>
      <c r="S94" s="203">
        <v>-0.13</v>
      </c>
      <c r="T94" s="203">
        <v>-0.19</v>
      </c>
      <c r="U94" s="203">
        <v>-0.08</v>
      </c>
      <c r="V94" s="203">
        <v>-0.35</v>
      </c>
      <c r="W94" s="203">
        <v>0.31</v>
      </c>
    </row>
    <row r="95" spans="1:23">
      <c r="A95" s="40" t="s">
        <v>50</v>
      </c>
      <c r="B95" s="40" t="s">
        <v>58</v>
      </c>
      <c r="C95" s="40" t="s">
        <v>160</v>
      </c>
      <c r="D95" s="40">
        <v>2025</v>
      </c>
      <c r="E95" s="40">
        <v>808963.85647582996</v>
      </c>
      <c r="F95" s="40">
        <v>334742.98895263701</v>
      </c>
      <c r="G95" s="40">
        <v>0</v>
      </c>
      <c r="H95" s="40">
        <v>415882.96054077201</v>
      </c>
      <c r="I95" s="40">
        <v>218705.28965759301</v>
      </c>
      <c r="J95" s="40">
        <v>8844.5000534057599</v>
      </c>
      <c r="K95" s="40">
        <v>10421.190093994101</v>
      </c>
      <c r="L95" s="40">
        <v>410022.76004409802</v>
      </c>
      <c r="M95" s="40">
        <v>167921.78930215901</v>
      </c>
      <c r="N95" s="40">
        <v>266893.369669437</v>
      </c>
      <c r="O95" s="40">
        <v>1412825.40783882</v>
      </c>
      <c r="P95" s="40">
        <v>0</v>
      </c>
      <c r="Q95" s="40">
        <v>40534</v>
      </c>
      <c r="R95" s="40">
        <v>517171.62999534601</v>
      </c>
      <c r="S95" s="40">
        <v>16913.519950866699</v>
      </c>
      <c r="T95" s="40">
        <v>64751.050060272202</v>
      </c>
      <c r="U95" s="40">
        <v>30247.8701019287</v>
      </c>
      <c r="V95" s="40">
        <v>476111.39881515497</v>
      </c>
      <c r="W95" s="40">
        <v>206459.62972068801</v>
      </c>
    </row>
    <row r="96" spans="1:23">
      <c r="A96" s="40" t="s">
        <v>50</v>
      </c>
      <c r="B96" s="40" t="s">
        <v>58</v>
      </c>
      <c r="C96" s="40" t="s">
        <v>160</v>
      </c>
      <c r="D96" s="40">
        <v>2026</v>
      </c>
      <c r="E96" s="40">
        <v>621127.73433685303</v>
      </c>
      <c r="F96" s="40">
        <v>307217.51037025498</v>
      </c>
      <c r="G96" s="40">
        <v>0</v>
      </c>
      <c r="H96" s="40">
        <v>336745.41131591803</v>
      </c>
      <c r="I96" s="40">
        <v>182744.85983276399</v>
      </c>
      <c r="J96" s="40">
        <v>16810.6599502563</v>
      </c>
      <c r="K96" s="40">
        <v>42060.179534912102</v>
      </c>
      <c r="L96" s="40">
        <v>443713.59026527399</v>
      </c>
      <c r="M96" s="40">
        <v>150784.68013286599</v>
      </c>
      <c r="N96" s="40">
        <v>195990.86088609701</v>
      </c>
      <c r="O96" s="40">
        <v>1186308.65380383</v>
      </c>
      <c r="P96" s="40">
        <v>0</v>
      </c>
      <c r="Q96" s="40">
        <v>33013.5</v>
      </c>
      <c r="R96" s="40">
        <v>453476.67965126003</v>
      </c>
      <c r="S96" s="40">
        <v>14346.5900478363</v>
      </c>
      <c r="T96" s="40">
        <v>57788.469585418701</v>
      </c>
      <c r="U96" s="40">
        <v>30575.359893798799</v>
      </c>
      <c r="V96" s="40">
        <v>294893.98199653602</v>
      </c>
      <c r="W96" s="40">
        <v>183115.83054685601</v>
      </c>
    </row>
    <row r="97" spans="1:23">
      <c r="A97" s="40" t="s">
        <v>50</v>
      </c>
      <c r="B97" s="40" t="s">
        <v>58</v>
      </c>
      <c r="C97" s="40" t="s">
        <v>160</v>
      </c>
      <c r="D97" s="40" t="s">
        <v>15</v>
      </c>
      <c r="E97" s="203">
        <v>-0.23</v>
      </c>
      <c r="F97" s="203">
        <v>-0.08</v>
      </c>
      <c r="G97" s="40" t="s">
        <v>161</v>
      </c>
      <c r="H97" s="203">
        <v>-0.19</v>
      </c>
      <c r="I97" s="203">
        <v>-0.16</v>
      </c>
      <c r="J97" s="203">
        <v>0.9</v>
      </c>
      <c r="K97" s="203">
        <v>3.04</v>
      </c>
      <c r="L97" s="203">
        <v>0.08</v>
      </c>
      <c r="M97" s="203">
        <v>-0.1</v>
      </c>
      <c r="N97" s="203">
        <v>-0.27</v>
      </c>
      <c r="O97" s="203">
        <v>-0.16</v>
      </c>
      <c r="P97" s="40" t="s">
        <v>161</v>
      </c>
      <c r="Q97" s="203">
        <v>-0.19</v>
      </c>
      <c r="R97" s="203">
        <v>-0.12</v>
      </c>
      <c r="S97" s="203">
        <v>-0.15</v>
      </c>
      <c r="T97" s="203">
        <v>-0.11</v>
      </c>
      <c r="U97" s="203">
        <v>0.01</v>
      </c>
      <c r="V97" s="203">
        <v>-0.38</v>
      </c>
      <c r="W97" s="203">
        <v>-0.11</v>
      </c>
    </row>
    <row r="98" spans="1:23">
      <c r="A98" s="40" t="s">
        <v>50</v>
      </c>
      <c r="B98" s="40" t="s">
        <v>59</v>
      </c>
      <c r="C98" s="40" t="s">
        <v>59</v>
      </c>
      <c r="D98" s="40">
        <v>2025</v>
      </c>
      <c r="E98" s="40">
        <v>6032647.1455974597</v>
      </c>
      <c r="F98" s="40">
        <v>3962066.9787826501</v>
      </c>
      <c r="G98" s="40">
        <v>0</v>
      </c>
      <c r="H98" s="40">
        <v>3175142.9588518199</v>
      </c>
      <c r="I98" s="40">
        <v>1934697.91535568</v>
      </c>
      <c r="J98" s="40">
        <v>21957.160118102998</v>
      </c>
      <c r="K98" s="40">
        <v>98798.150177001997</v>
      </c>
      <c r="L98" s="40">
        <v>4396346.2194919595</v>
      </c>
      <c r="M98" s="40">
        <v>762655.305297966</v>
      </c>
      <c r="N98" s="40">
        <v>3806466.8447265602</v>
      </c>
      <c r="O98" s="40">
        <v>5526909.2413282404</v>
      </c>
      <c r="P98" s="40">
        <v>0</v>
      </c>
      <c r="Q98" s="40">
        <v>174792.07984376</v>
      </c>
      <c r="R98" s="40">
        <v>4937998.9121949598</v>
      </c>
      <c r="S98" s="40">
        <v>83655.539892196699</v>
      </c>
      <c r="T98" s="40">
        <v>520020.95351600699</v>
      </c>
      <c r="U98" s="40">
        <v>277219.191375733</v>
      </c>
      <c r="V98" s="40">
        <v>2961630.4821233801</v>
      </c>
      <c r="W98" s="40">
        <v>1439396.36601639</v>
      </c>
    </row>
    <row r="99" spans="1:23">
      <c r="A99" s="40" t="s">
        <v>50</v>
      </c>
      <c r="B99" s="40" t="s">
        <v>59</v>
      </c>
      <c r="C99" s="40" t="s">
        <v>59</v>
      </c>
      <c r="D99" s="40">
        <v>2026</v>
      </c>
      <c r="E99" s="40">
        <v>5651934.2547683697</v>
      </c>
      <c r="F99" s="40">
        <v>3427818.44762039</v>
      </c>
      <c r="G99" s="40">
        <v>0</v>
      </c>
      <c r="H99" s="40">
        <v>3311638.4938316401</v>
      </c>
      <c r="I99" s="40">
        <v>2018786.3705387099</v>
      </c>
      <c r="J99" s="40">
        <v>56540.879989624103</v>
      </c>
      <c r="K99" s="40">
        <v>355305.91985320998</v>
      </c>
      <c r="L99" s="40">
        <v>4567613.6675529499</v>
      </c>
      <c r="M99" s="40">
        <v>685282.44044756901</v>
      </c>
      <c r="N99" s="40">
        <v>3217853.9698123899</v>
      </c>
      <c r="O99" s="40">
        <v>4797860.3805048401</v>
      </c>
      <c r="P99" s="40">
        <v>0</v>
      </c>
      <c r="Q99" s="40">
        <v>145885.88008499099</v>
      </c>
      <c r="R99" s="40">
        <v>4422848.1000707299</v>
      </c>
      <c r="S99" s="40">
        <v>95717.560085296602</v>
      </c>
      <c r="T99" s="40">
        <v>522396.47785377502</v>
      </c>
      <c r="U99" s="40">
        <v>269377.71009826701</v>
      </c>
      <c r="V99" s="40">
        <v>2609779.4596385998</v>
      </c>
      <c r="W99" s="40">
        <v>1876038.5791186099</v>
      </c>
    </row>
    <row r="100" spans="1:23">
      <c r="A100" s="40" t="s">
        <v>50</v>
      </c>
      <c r="B100" s="40" t="s">
        <v>59</v>
      </c>
      <c r="C100" s="40" t="s">
        <v>59</v>
      </c>
      <c r="D100" s="40" t="s">
        <v>15</v>
      </c>
      <c r="E100" s="203">
        <v>-0.06</v>
      </c>
      <c r="F100" s="203">
        <v>-0.13</v>
      </c>
      <c r="G100" s="40" t="s">
        <v>161</v>
      </c>
      <c r="H100" s="203">
        <v>0.04</v>
      </c>
      <c r="I100" s="203">
        <v>0.04</v>
      </c>
      <c r="J100" s="203">
        <v>1.58</v>
      </c>
      <c r="K100" s="203">
        <v>2.6</v>
      </c>
      <c r="L100" s="203">
        <v>0.04</v>
      </c>
      <c r="M100" s="203">
        <v>-0.1</v>
      </c>
      <c r="N100" s="203">
        <v>-0.15</v>
      </c>
      <c r="O100" s="203">
        <v>-0.13</v>
      </c>
      <c r="P100" s="40" t="s">
        <v>161</v>
      </c>
      <c r="Q100" s="203">
        <v>-0.17</v>
      </c>
      <c r="R100" s="203">
        <v>-0.1</v>
      </c>
      <c r="S100" s="203">
        <v>0.14000000000000001</v>
      </c>
      <c r="T100" s="203">
        <v>0</v>
      </c>
      <c r="U100" s="203">
        <v>-0.03</v>
      </c>
      <c r="V100" s="203">
        <v>-0.12</v>
      </c>
      <c r="W100" s="203">
        <v>0.3</v>
      </c>
    </row>
  </sheetData>
  <mergeCells count="9">
    <mergeCell ref="T2:W2"/>
    <mergeCell ref="A5:B5"/>
    <mergeCell ref="E5:G5"/>
    <mergeCell ref="H5:I5"/>
    <mergeCell ref="J5:M5"/>
    <mergeCell ref="N5:P5"/>
    <mergeCell ref="S5:U5"/>
    <mergeCell ref="V5:V6"/>
    <mergeCell ref="W5:W6"/>
  </mergeCells>
  <pageMargins left="0.19685039370078741" right="0.19685039370078741" top="0.19685039370078741" bottom="0.19685039370078741" header="0.11811023622047245" footer="0.19685039370078741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7"/>
  <sheetViews>
    <sheetView zoomScale="75" workbookViewId="0">
      <pane xSplit="3" ySplit="7" topLeftCell="D8" activePane="bottomRight" state="frozenSplit"/>
      <selection activeCell="G8" sqref="G8"/>
      <selection pane="topRight" activeCell="G8" sqref="G8"/>
      <selection pane="bottomLeft" activeCell="G8" sqref="G8"/>
      <selection pane="bottomRight" activeCell="A8" sqref="A8:G59"/>
    </sheetView>
  </sheetViews>
  <sheetFormatPr baseColWidth="10" defaultRowHeight="12.75"/>
  <cols>
    <col min="1" max="1" width="19.85546875" customWidth="1"/>
    <col min="2" max="2" width="25.140625" customWidth="1"/>
    <col min="3" max="3" width="31.7109375" bestFit="1" customWidth="1"/>
    <col min="4" max="4" width="31.7109375" customWidth="1"/>
    <col min="5" max="5" width="5.85546875" bestFit="1" customWidth="1"/>
    <col min="6" max="6" width="0.7109375" customWidth="1"/>
    <col min="7" max="7" width="9.140625" bestFit="1" customWidth="1"/>
    <col min="8" max="8" width="8.5703125" customWidth="1"/>
    <col min="9" max="9" width="8.28515625" customWidth="1"/>
    <col min="10" max="10" width="7.42578125" customWidth="1"/>
    <col min="11" max="11" width="7.7109375" customWidth="1"/>
    <col min="12" max="12" width="9.140625" customWidth="1"/>
    <col min="13" max="14" width="7.85546875" customWidth="1"/>
    <col min="15" max="15" width="8.140625" customWidth="1"/>
    <col min="16" max="16" width="7.7109375" customWidth="1"/>
    <col min="17" max="18" width="8" customWidth="1"/>
    <col min="19" max="19" width="8.85546875" bestFit="1" customWidth="1"/>
    <col min="20" max="20" width="8.42578125" customWidth="1"/>
    <col min="21" max="21" width="8.140625" customWidth="1"/>
    <col min="22" max="22" width="8.42578125" customWidth="1"/>
    <col min="23" max="23" width="7.5703125" customWidth="1"/>
    <col min="24" max="24" width="8.140625" bestFit="1" customWidth="1"/>
    <col min="25" max="25" width="46.28515625" hidden="1" customWidth="1"/>
  </cols>
  <sheetData>
    <row r="1" spans="1:26" ht="9.75" customHeight="1">
      <c r="A1" s="133"/>
      <c r="B1" s="133"/>
      <c r="C1" s="253" t="s">
        <v>117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133"/>
      <c r="S1" s="133"/>
      <c r="T1" s="133"/>
      <c r="U1" s="252">
        <f ca="1">+TODAY()</f>
        <v>46179</v>
      </c>
      <c r="V1" s="252"/>
      <c r="W1" s="252"/>
      <c r="X1" s="252"/>
      <c r="Y1" s="252"/>
      <c r="Z1" s="252"/>
    </row>
    <row r="2" spans="1:26" ht="24.75" customHeight="1">
      <c r="A2" s="133"/>
      <c r="B2" s="13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33"/>
      <c r="S2" s="133"/>
      <c r="T2" s="133"/>
      <c r="U2" s="252"/>
      <c r="V2" s="252"/>
      <c r="W2" s="252"/>
      <c r="X2" s="252"/>
      <c r="Y2" s="252"/>
      <c r="Z2" s="252"/>
    </row>
    <row r="5" spans="1:26" ht="14.25" customHeight="1">
      <c r="A5" s="250"/>
      <c r="B5" s="250"/>
      <c r="G5" s="251" t="s">
        <v>49</v>
      </c>
      <c r="H5" s="251"/>
      <c r="I5" s="251"/>
      <c r="J5" s="251" t="s">
        <v>113</v>
      </c>
      <c r="K5" s="251"/>
      <c r="L5" s="251" t="s">
        <v>48</v>
      </c>
      <c r="M5" s="251"/>
      <c r="N5" s="251"/>
      <c r="O5" s="251"/>
      <c r="P5" s="251" t="s">
        <v>47</v>
      </c>
      <c r="Q5" s="251"/>
      <c r="R5" s="132" t="s">
        <v>46</v>
      </c>
      <c r="S5" s="132" t="s">
        <v>45</v>
      </c>
      <c r="T5" s="251" t="s">
        <v>44</v>
      </c>
      <c r="U5" s="251"/>
      <c r="V5" s="251"/>
      <c r="W5" s="251" t="s">
        <v>43</v>
      </c>
      <c r="X5" s="251" t="s">
        <v>42</v>
      </c>
    </row>
    <row r="6" spans="1:26" ht="14.25" customHeight="1">
      <c r="G6" s="132">
        <v>10</v>
      </c>
      <c r="H6" s="132">
        <v>100</v>
      </c>
      <c r="I6" s="132" t="s">
        <v>41</v>
      </c>
      <c r="J6" s="132">
        <v>10</v>
      </c>
      <c r="K6" s="132">
        <v>100</v>
      </c>
      <c r="L6" s="132" t="s">
        <v>40</v>
      </c>
      <c r="M6" s="132" t="s">
        <v>39</v>
      </c>
      <c r="N6" s="132" t="s">
        <v>38</v>
      </c>
      <c r="O6" s="132" t="s">
        <v>37</v>
      </c>
      <c r="P6" s="132">
        <v>36</v>
      </c>
      <c r="Q6" s="132" t="s">
        <v>36</v>
      </c>
      <c r="R6" s="132" t="s">
        <v>35</v>
      </c>
      <c r="S6" s="132" t="s">
        <v>34</v>
      </c>
      <c r="T6" s="132" t="s">
        <v>33</v>
      </c>
      <c r="U6" s="132">
        <v>88.5</v>
      </c>
      <c r="V6" s="132" t="s">
        <v>32</v>
      </c>
      <c r="W6" s="251"/>
      <c r="X6" s="251"/>
    </row>
    <row r="7" spans="1:26" ht="14.25" customHeight="1">
      <c r="A7" s="132" t="s">
        <v>25</v>
      </c>
      <c r="B7" s="132" t="s">
        <v>112</v>
      </c>
      <c r="C7" s="132" t="s">
        <v>1</v>
      </c>
      <c r="D7" s="132" t="s">
        <v>2</v>
      </c>
      <c r="E7" s="132" t="s">
        <v>26</v>
      </c>
      <c r="F7" s="132" t="s">
        <v>87</v>
      </c>
      <c r="G7" s="132">
        <v>401101</v>
      </c>
      <c r="H7" s="132">
        <v>401103</v>
      </c>
      <c r="I7" s="132">
        <v>401106</v>
      </c>
      <c r="J7" s="132">
        <v>402101</v>
      </c>
      <c r="K7" s="132">
        <v>402103</v>
      </c>
      <c r="L7" s="132">
        <v>406110</v>
      </c>
      <c r="M7" s="132">
        <v>406120</v>
      </c>
      <c r="N7" s="132" t="s">
        <v>31</v>
      </c>
      <c r="O7" s="132" t="s">
        <v>30</v>
      </c>
      <c r="P7" s="132" t="s">
        <v>29</v>
      </c>
      <c r="Q7" s="132" t="s">
        <v>28</v>
      </c>
      <c r="R7" s="132">
        <v>408101</v>
      </c>
      <c r="S7" s="132"/>
      <c r="T7" s="132">
        <v>415104</v>
      </c>
      <c r="U7" s="132">
        <v>415201</v>
      </c>
      <c r="V7" s="132">
        <v>415307</v>
      </c>
      <c r="W7" s="132"/>
      <c r="X7" s="132"/>
    </row>
  </sheetData>
  <mergeCells count="10">
    <mergeCell ref="T5:V5"/>
    <mergeCell ref="W5:W6"/>
    <mergeCell ref="X5:X6"/>
    <mergeCell ref="U1:Z2"/>
    <mergeCell ref="C1:Q2"/>
    <mergeCell ref="A5:B5"/>
    <mergeCell ref="G5:I5"/>
    <mergeCell ref="J5:K5"/>
    <mergeCell ref="L5:O5"/>
    <mergeCell ref="P5:Q5"/>
  </mergeCells>
  <pageMargins left="0.19685039370078741" right="0.19685039370078741" top="0.19685039370078741" bottom="0.19685039370078741" header="0.11811023622047245" footer="0.19685039370078741"/>
  <pageSetup paperSize="9" scale="85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"/>
  <sheetViews>
    <sheetView zoomScale="75" workbookViewId="0">
      <pane xSplit="3" ySplit="7" topLeftCell="D8" activePane="bottomRight" state="frozenSplit"/>
      <selection activeCell="G8" sqref="G8"/>
      <selection pane="topRight" activeCell="G8" sqref="G8"/>
      <selection pane="bottomLeft" activeCell="G8" sqref="G8"/>
      <selection pane="bottomRight" activeCell="A8" sqref="A8:H59"/>
    </sheetView>
  </sheetViews>
  <sheetFormatPr baseColWidth="10" defaultRowHeight="12.75"/>
  <cols>
    <col min="1" max="1" width="23.5703125" customWidth="1"/>
    <col min="2" max="2" width="25.7109375" customWidth="1"/>
    <col min="3" max="3" width="31.7109375" bestFit="1" customWidth="1"/>
    <col min="4" max="4" width="32.28515625" bestFit="1" customWidth="1"/>
    <col min="5" max="5" width="5.85546875" customWidth="1"/>
    <col min="6" max="6" width="1" customWidth="1"/>
    <col min="7" max="7" width="9.140625" customWidth="1"/>
    <col min="8" max="8" width="8" customWidth="1"/>
    <col min="9" max="9" width="7.7109375" customWidth="1"/>
    <col min="10" max="10" width="8.42578125" customWidth="1"/>
    <col min="11" max="11" width="9.85546875" customWidth="1"/>
    <col min="12" max="12" width="8.28515625" customWidth="1"/>
    <col min="13" max="13" width="7.7109375" customWidth="1"/>
    <col min="14" max="14" width="8" customWidth="1"/>
    <col min="15" max="15" width="8.5703125" customWidth="1"/>
    <col min="16" max="16" width="8.85546875" customWidth="1"/>
    <col min="17" max="17" width="7.28515625" customWidth="1"/>
    <col min="18" max="18" width="7.7109375" customWidth="1"/>
    <col min="19" max="19" width="8" customWidth="1"/>
    <col min="20" max="20" width="7.85546875" customWidth="1"/>
    <col min="21" max="21" width="8.28515625" customWidth="1"/>
    <col min="22" max="22" width="8.7109375" customWidth="1"/>
    <col min="23" max="23" width="7.85546875" customWidth="1"/>
    <col min="24" max="24" width="8" customWidth="1"/>
    <col min="25" max="25" width="7.85546875" customWidth="1"/>
    <col min="26" max="26" width="10" hidden="1" customWidth="1"/>
  </cols>
  <sheetData>
    <row r="1" spans="1:26" ht="13.5" customHeight="1">
      <c r="A1" s="133" t="s">
        <v>0</v>
      </c>
      <c r="B1" s="133"/>
      <c r="C1" s="253" t="s">
        <v>116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133"/>
      <c r="T1" s="133"/>
      <c r="U1" s="254">
        <f ca="1">+TODAY()</f>
        <v>46179</v>
      </c>
      <c r="V1" s="254"/>
      <c r="W1" s="254"/>
      <c r="X1" s="254"/>
      <c r="Y1" s="254"/>
      <c r="Z1" s="254"/>
    </row>
    <row r="2" spans="1:26" ht="21.75" customHeight="1">
      <c r="A2" s="133" t="s">
        <v>4</v>
      </c>
      <c r="B2" s="13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133"/>
      <c r="T2" s="133"/>
      <c r="U2" s="254"/>
      <c r="V2" s="254"/>
      <c r="W2" s="254"/>
      <c r="X2" s="254"/>
      <c r="Y2" s="254"/>
      <c r="Z2" s="254"/>
    </row>
    <row r="3" spans="1:26" ht="14.25" customHeight="1"/>
    <row r="5" spans="1:26">
      <c r="G5" s="251" t="s">
        <v>5</v>
      </c>
      <c r="H5" s="251"/>
      <c r="I5" s="251" t="s">
        <v>6</v>
      </c>
      <c r="J5" s="251"/>
      <c r="K5" s="251"/>
      <c r="L5" s="251"/>
      <c r="M5" s="251"/>
      <c r="N5" s="251" t="s">
        <v>7</v>
      </c>
      <c r="O5" s="251"/>
      <c r="P5" s="251"/>
      <c r="Q5" s="251"/>
      <c r="R5" s="251" t="s">
        <v>8</v>
      </c>
      <c r="S5" s="251"/>
      <c r="T5" s="251"/>
      <c r="U5" s="132" t="s">
        <v>10</v>
      </c>
      <c r="V5" s="251" t="s">
        <v>9</v>
      </c>
      <c r="W5" s="251"/>
      <c r="X5" s="251"/>
      <c r="Y5" s="132" t="s">
        <v>16</v>
      </c>
    </row>
    <row r="6" spans="1:26">
      <c r="G6" s="132">
        <v>20</v>
      </c>
      <c r="H6" s="132">
        <v>50</v>
      </c>
      <c r="I6" s="132" t="s">
        <v>11</v>
      </c>
      <c r="J6" s="132" t="s">
        <v>12</v>
      </c>
      <c r="K6" s="132" t="s">
        <v>13</v>
      </c>
      <c r="L6" s="132" t="s">
        <v>14</v>
      </c>
      <c r="M6" s="132" t="s">
        <v>17</v>
      </c>
      <c r="N6" s="132">
        <v>10.5</v>
      </c>
      <c r="O6" s="132">
        <v>21</v>
      </c>
      <c r="P6" s="132" t="s">
        <v>18</v>
      </c>
      <c r="Q6" s="132" t="s">
        <v>19</v>
      </c>
      <c r="R6" s="132">
        <v>10.5</v>
      </c>
      <c r="S6" s="132">
        <v>21</v>
      </c>
      <c r="T6" s="132" t="s">
        <v>18</v>
      </c>
      <c r="U6" s="132" t="s">
        <v>18</v>
      </c>
      <c r="V6" s="132">
        <v>10.5</v>
      </c>
      <c r="W6" s="132">
        <v>21</v>
      </c>
      <c r="X6" s="132">
        <v>170</v>
      </c>
      <c r="Y6" s="251" t="s">
        <v>20</v>
      </c>
      <c r="Z6" t="s">
        <v>3</v>
      </c>
    </row>
    <row r="7" spans="1:26" ht="14.25" customHeight="1">
      <c r="A7" s="132" t="s">
        <v>25</v>
      </c>
      <c r="B7" s="132" t="s">
        <v>112</v>
      </c>
      <c r="C7" s="132" t="s">
        <v>1</v>
      </c>
      <c r="D7" s="132" t="s">
        <v>2</v>
      </c>
      <c r="E7" s="132" t="s">
        <v>26</v>
      </c>
      <c r="F7" s="132" t="s">
        <v>87</v>
      </c>
      <c r="G7" s="132">
        <v>501101</v>
      </c>
      <c r="H7" s="132">
        <v>501102</v>
      </c>
      <c r="I7" s="132">
        <v>502102</v>
      </c>
      <c r="J7" s="132">
        <v>502103</v>
      </c>
      <c r="K7" s="132">
        <v>502118</v>
      </c>
      <c r="L7" s="132">
        <v>502119</v>
      </c>
      <c r="M7" s="132" t="s">
        <v>24</v>
      </c>
      <c r="N7" s="132">
        <v>503101</v>
      </c>
      <c r="O7" s="132">
        <v>503102</v>
      </c>
      <c r="P7" s="132" t="s">
        <v>21</v>
      </c>
      <c r="Q7" s="132">
        <v>503133</v>
      </c>
      <c r="R7" s="132">
        <v>503201</v>
      </c>
      <c r="S7" s="132">
        <v>503202</v>
      </c>
      <c r="T7" s="132" t="s">
        <v>22</v>
      </c>
      <c r="U7" s="132" t="s">
        <v>23</v>
      </c>
      <c r="V7" s="132">
        <v>503301</v>
      </c>
      <c r="W7" s="132">
        <v>503302</v>
      </c>
      <c r="X7" s="132">
        <v>503303</v>
      </c>
      <c r="Y7" s="251"/>
    </row>
  </sheetData>
  <mergeCells count="8">
    <mergeCell ref="Y6:Y7"/>
    <mergeCell ref="C1:R2"/>
    <mergeCell ref="U1:Z2"/>
    <mergeCell ref="G5:H5"/>
    <mergeCell ref="I5:M5"/>
    <mergeCell ref="N5:Q5"/>
    <mergeCell ref="R5:T5"/>
    <mergeCell ref="V5:X5"/>
  </mergeCells>
  <printOptions horizontalCentered="1"/>
  <pageMargins left="0" right="0" top="0.19685039370078741" bottom="0" header="0.51181102362204722" footer="0.51181102362204722"/>
  <pageSetup paperSize="9" scale="75" orientation="landscape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8</vt:i4>
      </vt:variant>
    </vt:vector>
  </HeadingPairs>
  <TitlesOfParts>
    <vt:vector size="17" baseType="lpstr">
      <vt:lpstr>AGADIR</vt:lpstr>
      <vt:lpstr>QUALI NV</vt:lpstr>
      <vt:lpstr>QUALI</vt:lpstr>
      <vt:lpstr>VMM</vt:lpstr>
      <vt:lpstr>VMM CUMUL</vt:lpstr>
      <vt:lpstr>SOM</vt:lpstr>
      <vt:lpstr>SOM CUMUL</vt:lpstr>
      <vt:lpstr>SOM_quali</vt:lpstr>
      <vt:lpstr>VMM_quali</vt:lpstr>
      <vt:lpstr>AGADIR!Impression_des_titres</vt:lpstr>
      <vt:lpstr>'QUALI NV'!Impression_des_titres</vt:lpstr>
      <vt:lpstr>SOM!Impression_des_titres</vt:lpstr>
      <vt:lpstr>'SOM CUMUL'!Impression_des_titres</vt:lpstr>
      <vt:lpstr>SOM_quali!Impression_des_titres</vt:lpstr>
      <vt:lpstr>VMM!Impression_des_titres</vt:lpstr>
      <vt:lpstr>'VMM CUMUL'!Impression_des_titres</vt:lpstr>
      <vt:lpstr>VMM_quali!Impression_des_titres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akastim</dc:creator>
  <cp:lastModifiedBy>Hassan AKASTIM</cp:lastModifiedBy>
  <cp:lastPrinted>2012-04-26T11:36:04Z</cp:lastPrinted>
  <dcterms:created xsi:type="dcterms:W3CDTF">2007-05-08T09:19:35Z</dcterms:created>
  <dcterms:modified xsi:type="dcterms:W3CDTF">2026-06-05T22:14:40Z</dcterms:modified>
</cp:coreProperties>
</file>